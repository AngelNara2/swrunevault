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hernandez\Desktop\"/>
    </mc:Choice>
  </mc:AlternateContent>
  <xr:revisionPtr revIDLastSave="0" documentId="13_ncr:1_{FCFB46E7-C3BA-4E64-B72A-2F729B99B31A}" xr6:coauthVersionLast="47" xr6:coauthVersionMax="47" xr10:uidLastSave="{00000000-0000-0000-0000-000000000000}"/>
  <bookViews>
    <workbookView xWindow="-32115" yWindow="13725" windowWidth="15090" windowHeight="11295" activeTab="1" xr2:uid="{5F22712D-7A33-403F-BDB6-6DFCB32149B0}"/>
  </bookViews>
  <sheets>
    <sheet name="Hoja1" sheetId="1" r:id="rId1"/>
    <sheet name="Hoja1 (2)" sheetId="2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68" i="2" l="1"/>
  <c r="E68" i="2"/>
  <c r="I68" i="2" s="1"/>
  <c r="H67" i="2"/>
  <c r="E67" i="2"/>
  <c r="I67" i="2" s="1"/>
  <c r="H66" i="2"/>
  <c r="E66" i="2"/>
  <c r="I66" i="2" s="1"/>
  <c r="H65" i="2"/>
  <c r="E65" i="2"/>
  <c r="I65" i="2" s="1"/>
  <c r="H64" i="2"/>
  <c r="E64" i="2"/>
  <c r="I64" i="2" s="1"/>
  <c r="I63" i="2"/>
  <c r="H63" i="2"/>
  <c r="E63" i="2"/>
  <c r="I62" i="2"/>
  <c r="H62" i="2"/>
  <c r="E62" i="2"/>
  <c r="H61" i="2"/>
  <c r="I61" i="2"/>
  <c r="H60" i="2"/>
  <c r="E60" i="2"/>
  <c r="I60" i="2" s="1"/>
  <c r="I59" i="2"/>
  <c r="H59" i="2"/>
  <c r="E59" i="2"/>
  <c r="I58" i="2"/>
  <c r="H58" i="2"/>
  <c r="H69" i="2" s="1"/>
  <c r="E58" i="2"/>
  <c r="H54" i="2"/>
  <c r="E54" i="2"/>
  <c r="I54" i="2" s="1"/>
  <c r="H53" i="2"/>
  <c r="E53" i="2"/>
  <c r="I53" i="2" s="1"/>
  <c r="H52" i="2"/>
  <c r="E52" i="2"/>
  <c r="I52" i="2" s="1"/>
  <c r="H51" i="2"/>
  <c r="E51" i="2"/>
  <c r="I51" i="2" s="1"/>
  <c r="H50" i="2"/>
  <c r="I50" i="2"/>
  <c r="I49" i="2"/>
  <c r="H49" i="2"/>
  <c r="E49" i="2"/>
  <c r="H48" i="2"/>
  <c r="E48" i="2"/>
  <c r="I48" i="2" s="1"/>
  <c r="H47" i="2"/>
  <c r="E47" i="2"/>
  <c r="I47" i="2" s="1"/>
  <c r="I46" i="2"/>
  <c r="H46" i="2"/>
  <c r="E46" i="2"/>
  <c r="I45" i="2"/>
  <c r="H45" i="2"/>
  <c r="E45" i="2"/>
  <c r="H44" i="2"/>
  <c r="E44" i="2"/>
  <c r="I44" i="2" s="1"/>
  <c r="H40" i="2"/>
  <c r="E40" i="2"/>
  <c r="I40" i="2" s="1"/>
  <c r="H39" i="2"/>
  <c r="E39" i="2"/>
  <c r="I39" i="2" s="1"/>
  <c r="H38" i="2"/>
  <c r="E38" i="2"/>
  <c r="I38" i="2" s="1"/>
  <c r="I37" i="2"/>
  <c r="H37" i="2"/>
  <c r="E37" i="2"/>
  <c r="I36" i="2"/>
  <c r="H36" i="2"/>
  <c r="E36" i="2"/>
  <c r="H35" i="2"/>
  <c r="E35" i="2"/>
  <c r="I35" i="2" s="1"/>
  <c r="H34" i="2"/>
  <c r="E34" i="2"/>
  <c r="I34" i="2" s="1"/>
  <c r="I33" i="2"/>
  <c r="H33" i="2"/>
  <c r="E33" i="2"/>
  <c r="I32" i="2"/>
  <c r="H32" i="2"/>
  <c r="E32" i="2"/>
  <c r="H31" i="2"/>
  <c r="E31" i="2"/>
  <c r="I31" i="2" s="1"/>
  <c r="H30" i="2"/>
  <c r="H41" i="2" s="1"/>
  <c r="E30" i="2"/>
  <c r="I30" i="2" s="1"/>
  <c r="H26" i="2"/>
  <c r="E26" i="2"/>
  <c r="I26" i="2" s="1"/>
  <c r="H25" i="2"/>
  <c r="E25" i="2"/>
  <c r="I25" i="2" s="1"/>
  <c r="H24" i="2"/>
  <c r="E24" i="2"/>
  <c r="I24" i="2" s="1"/>
  <c r="I23" i="2"/>
  <c r="H23" i="2"/>
  <c r="E23" i="2"/>
  <c r="H22" i="2"/>
  <c r="E22" i="2"/>
  <c r="I22" i="2" s="1"/>
  <c r="H21" i="2"/>
  <c r="E21" i="2"/>
  <c r="I21" i="2" s="1"/>
  <c r="I20" i="2"/>
  <c r="H20" i="2"/>
  <c r="E20" i="2"/>
  <c r="I19" i="2"/>
  <c r="H19" i="2"/>
  <c r="E19" i="2"/>
  <c r="H18" i="2"/>
  <c r="E18" i="2"/>
  <c r="I18" i="2" s="1"/>
  <c r="H17" i="2"/>
  <c r="E17" i="2"/>
  <c r="I17" i="2" s="1"/>
  <c r="H16" i="2"/>
  <c r="H27" i="2" s="1"/>
  <c r="E16" i="2"/>
  <c r="I16" i="2" s="1"/>
  <c r="H13" i="2"/>
  <c r="C72" i="2" s="1"/>
  <c r="H12" i="2"/>
  <c r="E12" i="2"/>
  <c r="I12" i="2" s="1"/>
  <c r="H11" i="2"/>
  <c r="E11" i="2"/>
  <c r="I11" i="2" s="1"/>
  <c r="I10" i="2"/>
  <c r="H10" i="2"/>
  <c r="E10" i="2"/>
  <c r="H9" i="2"/>
  <c r="E9" i="2"/>
  <c r="I9" i="2" s="1"/>
  <c r="H8" i="2"/>
  <c r="E8" i="2"/>
  <c r="I8" i="2" s="1"/>
  <c r="I7" i="2"/>
  <c r="H7" i="2"/>
  <c r="E7" i="2"/>
  <c r="I6" i="2"/>
  <c r="H6" i="2"/>
  <c r="E6" i="2"/>
  <c r="H5" i="2"/>
  <c r="E5" i="2"/>
  <c r="I5" i="2" s="1"/>
  <c r="H4" i="2"/>
  <c r="E4" i="2"/>
  <c r="I4" i="2" s="1"/>
  <c r="H3" i="2"/>
  <c r="E3" i="2"/>
  <c r="I3" i="2" s="1"/>
  <c r="I2" i="2"/>
  <c r="H2" i="2"/>
  <c r="E2" i="2"/>
  <c r="E16" i="1"/>
  <c r="E17" i="1"/>
  <c r="I17" i="1" s="1"/>
  <c r="E18" i="1"/>
  <c r="E19" i="1"/>
  <c r="I19" i="1" s="1"/>
  <c r="E20" i="1"/>
  <c r="I20" i="1" s="1"/>
  <c r="E21" i="1"/>
  <c r="I21" i="1" s="1"/>
  <c r="E22" i="1"/>
  <c r="I22" i="1" s="1"/>
  <c r="E23" i="1"/>
  <c r="I23" i="1" s="1"/>
  <c r="E24" i="1"/>
  <c r="I24" i="1" s="1"/>
  <c r="E25" i="1"/>
  <c r="I25" i="1" s="1"/>
  <c r="E26" i="1"/>
  <c r="I26" i="1" s="1"/>
  <c r="E30" i="1"/>
  <c r="I30" i="1" s="1"/>
  <c r="E31" i="1"/>
  <c r="I31" i="1" s="1"/>
  <c r="E32" i="1"/>
  <c r="I32" i="1" s="1"/>
  <c r="E33" i="1"/>
  <c r="I33" i="1" s="1"/>
  <c r="E34" i="1"/>
  <c r="I34" i="1" s="1"/>
  <c r="E35" i="1"/>
  <c r="I35" i="1" s="1"/>
  <c r="E36" i="1"/>
  <c r="I36" i="1" s="1"/>
  <c r="E37" i="1"/>
  <c r="I37" i="1" s="1"/>
  <c r="E38" i="1"/>
  <c r="I38" i="1" s="1"/>
  <c r="E39" i="1"/>
  <c r="I39" i="1" s="1"/>
  <c r="E40" i="1"/>
  <c r="I40" i="1" s="1"/>
  <c r="E44" i="1"/>
  <c r="I44" i="1" s="1"/>
  <c r="E45" i="1"/>
  <c r="I45" i="1" s="1"/>
  <c r="E46" i="1"/>
  <c r="I46" i="1" s="1"/>
  <c r="E47" i="1"/>
  <c r="I47" i="1" s="1"/>
  <c r="E48" i="1"/>
  <c r="I48" i="1" s="1"/>
  <c r="E49" i="1"/>
  <c r="I49" i="1" s="1"/>
  <c r="E50" i="1"/>
  <c r="I50" i="1" s="1"/>
  <c r="E51" i="1"/>
  <c r="I51" i="1" s="1"/>
  <c r="E52" i="1"/>
  <c r="I52" i="1" s="1"/>
  <c r="E53" i="1"/>
  <c r="I53" i="1" s="1"/>
  <c r="E54" i="1"/>
  <c r="E58" i="1"/>
  <c r="E59" i="1"/>
  <c r="E60" i="1"/>
  <c r="E61" i="1"/>
  <c r="I61" i="1" s="1"/>
  <c r="E62" i="1"/>
  <c r="I62" i="1" s="1"/>
  <c r="E63" i="1"/>
  <c r="I63" i="1" s="1"/>
  <c r="E64" i="1"/>
  <c r="I64" i="1" s="1"/>
  <c r="E65" i="1"/>
  <c r="I65" i="1" s="1"/>
  <c r="E66" i="1"/>
  <c r="I66" i="1" s="1"/>
  <c r="E67" i="1"/>
  <c r="I67" i="1" s="1"/>
  <c r="E68" i="1"/>
  <c r="I68" i="1" s="1"/>
  <c r="I18" i="1"/>
  <c r="I59" i="1"/>
  <c r="I60" i="1"/>
  <c r="I58" i="1"/>
  <c r="I54" i="1"/>
  <c r="E3" i="1"/>
  <c r="I3" i="1" s="1"/>
  <c r="E4" i="1"/>
  <c r="I4" i="1" s="1"/>
  <c r="E5" i="1"/>
  <c r="I5" i="1" s="1"/>
  <c r="E6" i="1"/>
  <c r="I6" i="1" s="1"/>
  <c r="E7" i="1"/>
  <c r="I7" i="1" s="1"/>
  <c r="E8" i="1"/>
  <c r="I8" i="1" s="1"/>
  <c r="E9" i="1"/>
  <c r="I9" i="1" s="1"/>
  <c r="E10" i="1"/>
  <c r="I10" i="1" s="1"/>
  <c r="E11" i="1"/>
  <c r="I11" i="1" s="1"/>
  <c r="E12" i="1"/>
  <c r="I12" i="1" s="1"/>
  <c r="E2" i="1"/>
  <c r="I2" i="1" s="1"/>
  <c r="I16" i="1"/>
  <c r="H18" i="1"/>
  <c r="H68" i="1"/>
  <c r="H67" i="1"/>
  <c r="H66" i="1"/>
  <c r="H65" i="1"/>
  <c r="H64" i="1"/>
  <c r="H63" i="1"/>
  <c r="H62" i="1"/>
  <c r="H61" i="1"/>
  <c r="H60" i="1"/>
  <c r="H59" i="1"/>
  <c r="H58" i="1"/>
  <c r="H54" i="1"/>
  <c r="H53" i="1"/>
  <c r="H52" i="1"/>
  <c r="H51" i="1"/>
  <c r="H50" i="1"/>
  <c r="H49" i="1"/>
  <c r="H48" i="1"/>
  <c r="H47" i="1"/>
  <c r="H46" i="1"/>
  <c r="H45" i="1"/>
  <c r="H44" i="1"/>
  <c r="H40" i="1"/>
  <c r="H39" i="1"/>
  <c r="H38" i="1"/>
  <c r="H37" i="1"/>
  <c r="H36" i="1"/>
  <c r="H35" i="1"/>
  <c r="H34" i="1"/>
  <c r="H33" i="1"/>
  <c r="H32" i="1"/>
  <c r="H31" i="1"/>
  <c r="H30" i="1"/>
  <c r="H12" i="1"/>
  <c r="H11" i="1"/>
  <c r="H10" i="1"/>
  <c r="H9" i="1"/>
  <c r="H8" i="1"/>
  <c r="H7" i="1"/>
  <c r="H6" i="1"/>
  <c r="H5" i="1"/>
  <c r="H4" i="1"/>
  <c r="H3" i="1"/>
  <c r="H2" i="1"/>
  <c r="H17" i="1"/>
  <c r="H26" i="1"/>
  <c r="H25" i="1"/>
  <c r="H24" i="1"/>
  <c r="H23" i="1"/>
  <c r="H22" i="1"/>
  <c r="H21" i="1"/>
  <c r="H20" i="1"/>
  <c r="H19" i="1"/>
  <c r="H16" i="1"/>
  <c r="H55" i="2" l="1"/>
  <c r="C71" i="2" s="1"/>
  <c r="C73" i="2" s="1"/>
  <c r="I69" i="2"/>
  <c r="I55" i="2"/>
  <c r="I27" i="2"/>
  <c r="I13" i="2"/>
  <c r="I41" i="2"/>
  <c r="I69" i="1"/>
  <c r="I27" i="1"/>
  <c r="H27" i="1"/>
  <c r="H13" i="1"/>
  <c r="C72" i="1" s="1"/>
  <c r="I55" i="1"/>
  <c r="H69" i="1"/>
  <c r="H55" i="1"/>
  <c r="I41" i="1"/>
  <c r="I13" i="1"/>
  <c r="H41" i="1"/>
  <c r="D71" i="2" l="1"/>
  <c r="D73" i="2" s="1"/>
  <c r="D71" i="1"/>
  <c r="D73" i="1" s="1"/>
  <c r="C71" i="1"/>
  <c r="C73" i="1" s="1"/>
</calcChain>
</file>

<file path=xl/sharedStrings.xml><?xml version="1.0" encoding="utf-8"?>
<sst xmlns="http://schemas.openxmlformats.org/spreadsheetml/2006/main" count="210" uniqueCount="29">
  <si>
    <t>Innate</t>
  </si>
  <si>
    <t>HP</t>
  </si>
  <si>
    <t>HP %</t>
  </si>
  <si>
    <t>ATK</t>
  </si>
  <si>
    <t>ATK %</t>
  </si>
  <si>
    <t xml:space="preserve">DEF </t>
  </si>
  <si>
    <t>DEF %</t>
  </si>
  <si>
    <t>VEL</t>
  </si>
  <si>
    <t>DAÑO CRITICO</t>
  </si>
  <si>
    <t>TASA CRITICA</t>
  </si>
  <si>
    <t>PRESICION</t>
  </si>
  <si>
    <t>RESISTENCIA</t>
  </si>
  <si>
    <t>SubStat 1</t>
  </si>
  <si>
    <t>SubStat2</t>
  </si>
  <si>
    <t>SubStat 3</t>
  </si>
  <si>
    <t>SubStat4</t>
  </si>
  <si>
    <t>Estadistica</t>
  </si>
  <si>
    <t>Valor actual</t>
  </si>
  <si>
    <t>Valor Maximo</t>
  </si>
  <si>
    <t>Valor Maximo + piedra</t>
  </si>
  <si>
    <t>Aporte actual</t>
  </si>
  <si>
    <t>Aporte + piedra</t>
  </si>
  <si>
    <t>Valor actual + Piedra</t>
  </si>
  <si>
    <t>Aporte</t>
  </si>
  <si>
    <t>Aporte Total</t>
  </si>
  <si>
    <t>Actual</t>
  </si>
  <si>
    <t>Actual + piedra</t>
  </si>
  <si>
    <t>Eficiencia</t>
  </si>
  <si>
    <t>Maximo teorico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</si>
</sst>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0" xfId="0" applyFill="1"/>
    <xf numFmtId="0" fontId="1" fillId="3" borderId="0" xfId="0" applyFont="1" applyFill="1" applyAlignment="1">
      <alignment horizontal="center" vertical="center"/>
    </xf>
    <xf numFmtId="0" fontId="0" fillId="4" borderId="0" xfId="0" applyFill="1"/>
    <xf numFmtId="0" fontId="0" fillId="4" borderId="0" xfId="0" applyFill="1" applyAlignment="1">
      <alignment horizontal="center" vertical="center"/>
    </xf>
    <xf numFmtId="0" fontId="0" fillId="5" borderId="0" xfId="0" applyFill="1"/>
    <xf numFmtId="0" fontId="0" fillId="5" borderId="0" xfId="0" applyFill="1" applyAlignment="1">
      <alignment horizontal="center" vertical="center"/>
    </xf>
    <xf numFmtId="0" fontId="0" fillId="6" borderId="0" xfId="0" applyFill="1"/>
    <xf numFmtId="0" fontId="0" fillId="6" borderId="0" xfId="0" applyFill="1" applyAlignment="1">
      <alignment horizontal="center" vertical="center"/>
    </xf>
    <xf numFmtId="0" fontId="0" fillId="7" borderId="0" xfId="0" applyFill="1"/>
    <xf numFmtId="0" fontId="0" fillId="7" borderId="0" xfId="0" applyFill="1" applyAlignment="1">
      <alignment horizontal="center" vertical="center"/>
    </xf>
    <xf numFmtId="0" fontId="0" fillId="8" borderId="0" xfId="0" applyFill="1"/>
    <xf numFmtId="0" fontId="0" fillId="8" borderId="0" xfId="0" applyFill="1" applyAlignment="1">
      <alignment horizontal="center" vertical="center"/>
    </xf>
    <xf numFmtId="0" fontId="0" fillId="9" borderId="0" xfId="0" applyFill="1"/>
    <xf numFmtId="0" fontId="0" fillId="9" borderId="0" xfId="0" applyFill="1" applyAlignment="1">
      <alignment horizontal="center" vertical="center"/>
    </xf>
    <xf numFmtId="0" fontId="0" fillId="10" borderId="0" xfId="0" applyFill="1"/>
    <xf numFmtId="0" fontId="0" fillId="10" borderId="0" xfId="0" applyFill="1" applyAlignment="1">
      <alignment horizontal="center" vertical="center"/>
    </xf>
    <xf numFmtId="0" fontId="0" fillId="11" borderId="0" xfId="0" applyFill="1"/>
    <xf numFmtId="0" fontId="0" fillId="11" borderId="0" xfId="0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0" fillId="4" borderId="0" xfId="0" applyNumberFormat="1" applyFill="1" applyAlignment="1">
      <alignment horizontal="center" vertical="center"/>
    </xf>
    <xf numFmtId="164" fontId="0" fillId="6" borderId="0" xfId="0" applyNumberFormat="1" applyFill="1" applyAlignment="1">
      <alignment horizontal="center" vertical="center"/>
    </xf>
    <xf numFmtId="164" fontId="0" fillId="8" borderId="0" xfId="0" applyNumberFormat="1" applyFill="1" applyAlignment="1">
      <alignment horizontal="center" vertical="center"/>
    </xf>
    <xf numFmtId="164" fontId="0" fillId="10" borderId="0" xfId="0" applyNumberFormat="1" applyFill="1" applyAlignment="1">
      <alignment horizontal="center" vertical="center"/>
    </xf>
    <xf numFmtId="2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FB249E-2F51-411D-954E-B6411BA27C84}">
  <dimension ref="A1:J73"/>
  <sheetViews>
    <sheetView topLeftCell="B1" workbookViewId="0">
      <selection activeCell="C50" sqref="C50"/>
    </sheetView>
  </sheetViews>
  <sheetFormatPr baseColWidth="10" defaultRowHeight="15" x14ac:dyDescent="0.25"/>
  <cols>
    <col min="2" max="2" width="14.85546875" bestFit="1" customWidth="1"/>
    <col min="3" max="3" width="11.42578125" style="1" customWidth="1"/>
    <col min="4" max="4" width="13.28515625" style="1" customWidth="1"/>
    <col min="5" max="6" width="19.140625" style="1" customWidth="1"/>
    <col min="7" max="7" width="14" style="1" customWidth="1"/>
    <col min="8" max="8" width="12.85546875" bestFit="1" customWidth="1"/>
    <col min="9" max="10" width="14.7109375" style="1" bestFit="1" customWidth="1"/>
  </cols>
  <sheetData>
    <row r="1" spans="1:9" x14ac:dyDescent="0.25">
      <c r="A1" s="4" t="s">
        <v>0</v>
      </c>
      <c r="B1" s="4" t="s">
        <v>16</v>
      </c>
      <c r="C1" s="4" t="s">
        <v>17</v>
      </c>
      <c r="D1" s="4" t="s">
        <v>18</v>
      </c>
      <c r="E1" s="4" t="s">
        <v>22</v>
      </c>
      <c r="F1" s="4" t="s">
        <v>19</v>
      </c>
      <c r="G1"/>
      <c r="H1" s="4" t="s">
        <v>20</v>
      </c>
      <c r="I1" s="4" t="s">
        <v>21</v>
      </c>
    </row>
    <row r="2" spans="1:9" x14ac:dyDescent="0.25">
      <c r="A2" s="3"/>
      <c r="B2" s="3" t="s">
        <v>1</v>
      </c>
      <c r="C2" s="2"/>
      <c r="D2" s="2">
        <v>355</v>
      </c>
      <c r="E2" s="2">
        <f t="shared" ref="E2:E12" si="0">IF(C2 &lt;&gt; 0, C2+(F2-D2),0)</f>
        <v>0</v>
      </c>
      <c r="F2" s="2">
        <v>355</v>
      </c>
      <c r="G2"/>
      <c r="H2" s="22">
        <f t="shared" ref="H2:H12" si="1">C2/D2</f>
        <v>0</v>
      </c>
      <c r="I2" s="22">
        <f t="shared" ref="I2:I12" si="2">E2/F2</f>
        <v>0</v>
      </c>
    </row>
    <row r="3" spans="1:9" x14ac:dyDescent="0.25">
      <c r="A3" s="3"/>
      <c r="B3" s="3" t="s">
        <v>2</v>
      </c>
      <c r="C3" s="2">
        <v>8</v>
      </c>
      <c r="D3" s="2">
        <v>8</v>
      </c>
      <c r="E3" s="2">
        <f t="shared" si="0"/>
        <v>8</v>
      </c>
      <c r="F3" s="2">
        <v>8</v>
      </c>
      <c r="G3"/>
      <c r="H3" s="22">
        <f t="shared" si="1"/>
        <v>1</v>
      </c>
      <c r="I3" s="22">
        <f t="shared" si="2"/>
        <v>1</v>
      </c>
    </row>
    <row r="4" spans="1:9" x14ac:dyDescent="0.25">
      <c r="A4" s="3"/>
      <c r="B4" s="3" t="s">
        <v>3</v>
      </c>
      <c r="C4" s="2"/>
      <c r="D4" s="2">
        <v>17</v>
      </c>
      <c r="E4" s="2">
        <f t="shared" si="0"/>
        <v>0</v>
      </c>
      <c r="F4" s="2">
        <v>17</v>
      </c>
      <c r="G4"/>
      <c r="H4" s="22">
        <f t="shared" si="1"/>
        <v>0</v>
      </c>
      <c r="I4" s="22">
        <f t="shared" si="2"/>
        <v>0</v>
      </c>
    </row>
    <row r="5" spans="1:9" x14ac:dyDescent="0.25">
      <c r="A5" s="3"/>
      <c r="B5" s="3" t="s">
        <v>4</v>
      </c>
      <c r="C5" s="2"/>
      <c r="D5" s="2">
        <v>8</v>
      </c>
      <c r="E5" s="2">
        <f t="shared" si="0"/>
        <v>0</v>
      </c>
      <c r="F5" s="2">
        <v>8</v>
      </c>
      <c r="G5"/>
      <c r="H5" s="22">
        <f t="shared" si="1"/>
        <v>0</v>
      </c>
      <c r="I5" s="22">
        <f t="shared" si="2"/>
        <v>0</v>
      </c>
    </row>
    <row r="6" spans="1:9" x14ac:dyDescent="0.25">
      <c r="A6" s="3"/>
      <c r="B6" s="3" t="s">
        <v>5</v>
      </c>
      <c r="C6" s="2"/>
      <c r="D6" s="2">
        <v>17</v>
      </c>
      <c r="E6" s="2">
        <f t="shared" si="0"/>
        <v>0</v>
      </c>
      <c r="F6" s="2">
        <v>17</v>
      </c>
      <c r="G6"/>
      <c r="H6" s="22">
        <f t="shared" si="1"/>
        <v>0</v>
      </c>
      <c r="I6" s="22">
        <f t="shared" si="2"/>
        <v>0</v>
      </c>
    </row>
    <row r="7" spans="1:9" x14ac:dyDescent="0.25">
      <c r="A7" s="3"/>
      <c r="B7" s="3" t="s">
        <v>6</v>
      </c>
      <c r="C7" s="2"/>
      <c r="D7" s="2">
        <v>8</v>
      </c>
      <c r="E7" s="2">
        <f t="shared" si="0"/>
        <v>0</v>
      </c>
      <c r="F7" s="2">
        <v>8</v>
      </c>
      <c r="G7"/>
      <c r="H7" s="22">
        <f t="shared" si="1"/>
        <v>0</v>
      </c>
      <c r="I7" s="22">
        <f t="shared" si="2"/>
        <v>0</v>
      </c>
    </row>
    <row r="8" spans="1:9" x14ac:dyDescent="0.25">
      <c r="A8" s="3"/>
      <c r="B8" s="3" t="s">
        <v>7</v>
      </c>
      <c r="C8" s="2"/>
      <c r="D8" s="2">
        <v>6</v>
      </c>
      <c r="E8" s="2">
        <f t="shared" si="0"/>
        <v>0</v>
      </c>
      <c r="F8" s="2">
        <v>6</v>
      </c>
      <c r="G8"/>
      <c r="H8" s="22">
        <f t="shared" si="1"/>
        <v>0</v>
      </c>
      <c r="I8" s="22">
        <f t="shared" si="2"/>
        <v>0</v>
      </c>
    </row>
    <row r="9" spans="1:9" x14ac:dyDescent="0.25">
      <c r="A9" s="3"/>
      <c r="B9" s="3" t="s">
        <v>9</v>
      </c>
      <c r="C9" s="2"/>
      <c r="D9" s="2">
        <v>6</v>
      </c>
      <c r="E9" s="2">
        <f t="shared" si="0"/>
        <v>0</v>
      </c>
      <c r="F9" s="2">
        <v>6</v>
      </c>
      <c r="G9"/>
      <c r="H9" s="22">
        <f t="shared" si="1"/>
        <v>0</v>
      </c>
      <c r="I9" s="22">
        <f t="shared" si="2"/>
        <v>0</v>
      </c>
    </row>
    <row r="10" spans="1:9" x14ac:dyDescent="0.25">
      <c r="A10" s="3"/>
      <c r="B10" s="3" t="s">
        <v>8</v>
      </c>
      <c r="C10" s="2"/>
      <c r="D10" s="2">
        <v>7</v>
      </c>
      <c r="E10" s="2">
        <f t="shared" si="0"/>
        <v>0</v>
      </c>
      <c r="F10" s="2">
        <v>7</v>
      </c>
      <c r="G10"/>
      <c r="H10" s="22">
        <f t="shared" si="1"/>
        <v>0</v>
      </c>
      <c r="I10" s="22">
        <f t="shared" si="2"/>
        <v>0</v>
      </c>
    </row>
    <row r="11" spans="1:9" x14ac:dyDescent="0.25">
      <c r="A11" s="3"/>
      <c r="B11" s="3" t="s">
        <v>10</v>
      </c>
      <c r="C11" s="2"/>
      <c r="D11" s="2">
        <v>8</v>
      </c>
      <c r="E11" s="2">
        <f t="shared" si="0"/>
        <v>0</v>
      </c>
      <c r="F11" s="2">
        <v>8</v>
      </c>
      <c r="G11"/>
      <c r="H11" s="22">
        <f t="shared" si="1"/>
        <v>0</v>
      </c>
      <c r="I11" s="22">
        <f t="shared" si="2"/>
        <v>0</v>
      </c>
    </row>
    <row r="12" spans="1:9" x14ac:dyDescent="0.25">
      <c r="A12" s="3"/>
      <c r="B12" s="3" t="s">
        <v>11</v>
      </c>
      <c r="C12" s="2"/>
      <c r="D12" s="2">
        <v>8</v>
      </c>
      <c r="E12" s="2">
        <f t="shared" si="0"/>
        <v>0</v>
      </c>
      <c r="F12" s="2">
        <v>8</v>
      </c>
      <c r="G12"/>
      <c r="H12" s="22">
        <f t="shared" si="1"/>
        <v>0</v>
      </c>
      <c r="I12" s="22">
        <f t="shared" si="2"/>
        <v>0</v>
      </c>
    </row>
    <row r="13" spans="1:9" x14ac:dyDescent="0.25">
      <c r="G13" s="2" t="s">
        <v>23</v>
      </c>
      <c r="H13" s="21">
        <f>SUM(H2:H12)</f>
        <v>1</v>
      </c>
      <c r="I13" s="21">
        <f>SUM(I2:I12)</f>
        <v>1</v>
      </c>
    </row>
    <row r="15" spans="1:9" x14ac:dyDescent="0.25">
      <c r="A15" s="7" t="s">
        <v>12</v>
      </c>
      <c r="B15" s="8" t="s">
        <v>16</v>
      </c>
      <c r="C15" s="8" t="s">
        <v>17</v>
      </c>
      <c r="D15" s="8" t="s">
        <v>18</v>
      </c>
      <c r="E15" s="8" t="s">
        <v>22</v>
      </c>
      <c r="F15" s="8" t="s">
        <v>19</v>
      </c>
      <c r="G15"/>
      <c r="H15" s="8" t="s">
        <v>20</v>
      </c>
      <c r="I15" s="8" t="s">
        <v>21</v>
      </c>
    </row>
    <row r="16" spans="1:9" x14ac:dyDescent="0.25">
      <c r="A16" s="5"/>
      <c r="B16" s="5" t="s">
        <v>1</v>
      </c>
      <c r="C16" s="6"/>
      <c r="D16" s="6">
        <v>1875</v>
      </c>
      <c r="E16" s="6">
        <f t="shared" ref="E16:E26" si="3">IF(C16 &lt;&gt; 0, C16+(F16-D16),0)</f>
        <v>0</v>
      </c>
      <c r="F16" s="6">
        <v>2425</v>
      </c>
      <c r="G16"/>
      <c r="H16" s="22">
        <f t="shared" ref="H16:H26" si="4">C16/D16</f>
        <v>0</v>
      </c>
      <c r="I16" s="22">
        <f t="shared" ref="I16:I26" si="5">E16/F16</f>
        <v>0</v>
      </c>
    </row>
    <row r="17" spans="1:9" x14ac:dyDescent="0.25">
      <c r="A17" s="5"/>
      <c r="B17" s="5" t="s">
        <v>2</v>
      </c>
      <c r="C17" s="6"/>
      <c r="D17" s="6">
        <v>40</v>
      </c>
      <c r="E17" s="6">
        <f t="shared" si="3"/>
        <v>0</v>
      </c>
      <c r="F17" s="6">
        <v>50</v>
      </c>
      <c r="G17"/>
      <c r="H17" s="22">
        <f t="shared" si="4"/>
        <v>0</v>
      </c>
      <c r="I17" s="22">
        <f t="shared" si="5"/>
        <v>0</v>
      </c>
    </row>
    <row r="18" spans="1:9" x14ac:dyDescent="0.25">
      <c r="A18" s="5"/>
      <c r="B18" s="5" t="s">
        <v>3</v>
      </c>
      <c r="C18" s="6"/>
      <c r="D18" s="6">
        <v>100</v>
      </c>
      <c r="E18" s="6">
        <f t="shared" si="3"/>
        <v>0</v>
      </c>
      <c r="F18" s="6">
        <v>130</v>
      </c>
      <c r="G18"/>
      <c r="H18" s="22">
        <f t="shared" si="4"/>
        <v>0</v>
      </c>
      <c r="I18" s="22">
        <f t="shared" si="5"/>
        <v>0</v>
      </c>
    </row>
    <row r="19" spans="1:9" x14ac:dyDescent="0.25">
      <c r="A19" s="5"/>
      <c r="B19" s="5" t="s">
        <v>4</v>
      </c>
      <c r="C19" s="6"/>
      <c r="D19" s="6">
        <v>40</v>
      </c>
      <c r="E19" s="6">
        <f t="shared" si="3"/>
        <v>0</v>
      </c>
      <c r="F19" s="6">
        <v>50</v>
      </c>
      <c r="G19"/>
      <c r="H19" s="22">
        <f t="shared" si="4"/>
        <v>0</v>
      </c>
      <c r="I19" s="22">
        <f t="shared" si="5"/>
        <v>0</v>
      </c>
    </row>
    <row r="20" spans="1:9" x14ac:dyDescent="0.25">
      <c r="A20" s="5"/>
      <c r="B20" s="5" t="s">
        <v>5</v>
      </c>
      <c r="C20" s="6"/>
      <c r="D20" s="6">
        <v>100</v>
      </c>
      <c r="E20" s="6">
        <f t="shared" si="3"/>
        <v>0</v>
      </c>
      <c r="F20" s="6">
        <v>130</v>
      </c>
      <c r="G20"/>
      <c r="H20" s="22">
        <f t="shared" si="4"/>
        <v>0</v>
      </c>
      <c r="I20" s="22">
        <f t="shared" si="5"/>
        <v>0</v>
      </c>
    </row>
    <row r="21" spans="1:9" x14ac:dyDescent="0.25">
      <c r="A21" s="5"/>
      <c r="B21" s="5" t="s">
        <v>6</v>
      </c>
      <c r="C21" s="6"/>
      <c r="D21" s="6">
        <v>40</v>
      </c>
      <c r="E21" s="6">
        <f t="shared" si="3"/>
        <v>0</v>
      </c>
      <c r="F21" s="6">
        <v>50</v>
      </c>
      <c r="G21"/>
      <c r="H21" s="22">
        <f t="shared" si="4"/>
        <v>0</v>
      </c>
      <c r="I21" s="22">
        <f t="shared" si="5"/>
        <v>0</v>
      </c>
    </row>
    <row r="22" spans="1:9" x14ac:dyDescent="0.25">
      <c r="A22" s="5"/>
      <c r="B22" s="5" t="s">
        <v>7</v>
      </c>
      <c r="C22" s="6"/>
      <c r="D22" s="6">
        <v>30</v>
      </c>
      <c r="E22" s="6">
        <f t="shared" si="3"/>
        <v>0</v>
      </c>
      <c r="F22" s="6">
        <v>35</v>
      </c>
      <c r="G22"/>
      <c r="H22" s="22">
        <f t="shared" si="4"/>
        <v>0</v>
      </c>
      <c r="I22" s="22">
        <f t="shared" si="5"/>
        <v>0</v>
      </c>
    </row>
    <row r="23" spans="1:9" x14ac:dyDescent="0.25">
      <c r="A23" s="5"/>
      <c r="B23" s="5" t="s">
        <v>9</v>
      </c>
      <c r="C23" s="6"/>
      <c r="D23" s="6">
        <v>30</v>
      </c>
      <c r="E23" s="6">
        <f t="shared" si="3"/>
        <v>0</v>
      </c>
      <c r="F23" s="6">
        <v>30</v>
      </c>
      <c r="G23"/>
      <c r="H23" s="22">
        <f t="shared" si="4"/>
        <v>0</v>
      </c>
      <c r="I23" s="22">
        <f t="shared" si="5"/>
        <v>0</v>
      </c>
    </row>
    <row r="24" spans="1:9" x14ac:dyDescent="0.25">
      <c r="A24" s="5"/>
      <c r="B24" s="5" t="s">
        <v>8</v>
      </c>
      <c r="C24" s="6">
        <v>11</v>
      </c>
      <c r="D24" s="6">
        <v>35</v>
      </c>
      <c r="E24" s="6">
        <f t="shared" si="3"/>
        <v>11</v>
      </c>
      <c r="F24" s="6">
        <v>35</v>
      </c>
      <c r="G24"/>
      <c r="H24" s="22">
        <f t="shared" si="4"/>
        <v>0.31428571428571428</v>
      </c>
      <c r="I24" s="22">
        <f t="shared" si="5"/>
        <v>0.31428571428571428</v>
      </c>
    </row>
    <row r="25" spans="1:9" x14ac:dyDescent="0.25">
      <c r="A25" s="5"/>
      <c r="B25" s="5" t="s">
        <v>10</v>
      </c>
      <c r="C25" s="6"/>
      <c r="D25" s="6">
        <v>40</v>
      </c>
      <c r="E25" s="6">
        <f t="shared" si="3"/>
        <v>0</v>
      </c>
      <c r="F25" s="6">
        <v>40</v>
      </c>
      <c r="G25"/>
      <c r="H25" s="22">
        <f t="shared" si="4"/>
        <v>0</v>
      </c>
      <c r="I25" s="22">
        <f t="shared" si="5"/>
        <v>0</v>
      </c>
    </row>
    <row r="26" spans="1:9" x14ac:dyDescent="0.25">
      <c r="A26" s="5"/>
      <c r="B26" s="5" t="s">
        <v>11</v>
      </c>
      <c r="C26" s="6"/>
      <c r="D26" s="6">
        <v>40</v>
      </c>
      <c r="E26" s="6">
        <f t="shared" si="3"/>
        <v>0</v>
      </c>
      <c r="F26" s="6">
        <v>40</v>
      </c>
      <c r="G26"/>
      <c r="H26" s="22">
        <f t="shared" si="4"/>
        <v>0</v>
      </c>
      <c r="I26" s="22">
        <f t="shared" si="5"/>
        <v>0</v>
      </c>
    </row>
    <row r="27" spans="1:9" x14ac:dyDescent="0.25">
      <c r="G27" s="6" t="s">
        <v>23</v>
      </c>
      <c r="H27" s="23">
        <f>SUM(H16:H26)</f>
        <v>0.31428571428571428</v>
      </c>
      <c r="I27" s="23">
        <f>SUM(I16:I26)</f>
        <v>0.31428571428571428</v>
      </c>
    </row>
    <row r="28" spans="1:9" x14ac:dyDescent="0.25">
      <c r="G28"/>
      <c r="H28" s="1"/>
    </row>
    <row r="29" spans="1:9" x14ac:dyDescent="0.25">
      <c r="A29" s="11" t="s">
        <v>13</v>
      </c>
      <c r="B29" s="12" t="s">
        <v>16</v>
      </c>
      <c r="C29" s="12" t="s">
        <v>17</v>
      </c>
      <c r="D29" s="12" t="s">
        <v>18</v>
      </c>
      <c r="E29" s="12" t="s">
        <v>22</v>
      </c>
      <c r="F29" s="12" t="s">
        <v>19</v>
      </c>
      <c r="G29"/>
      <c r="H29" s="12" t="s">
        <v>20</v>
      </c>
      <c r="I29" s="12" t="s">
        <v>21</v>
      </c>
    </row>
    <row r="30" spans="1:9" x14ac:dyDescent="0.25">
      <c r="A30" s="9"/>
      <c r="B30" s="9" t="s">
        <v>1</v>
      </c>
      <c r="C30" s="10"/>
      <c r="D30" s="10">
        <v>1875</v>
      </c>
      <c r="E30" s="10">
        <f t="shared" ref="E30:E40" si="6">IF(C30 &lt;&gt; 0, C30+(F30-D30),0)</f>
        <v>0</v>
      </c>
      <c r="F30" s="10">
        <v>2425</v>
      </c>
      <c r="G30"/>
      <c r="H30" s="22">
        <f t="shared" ref="H30:H40" si="7">C30/D30</f>
        <v>0</v>
      </c>
      <c r="I30" s="22">
        <f t="shared" ref="I30:I40" si="8">E30/F30</f>
        <v>0</v>
      </c>
    </row>
    <row r="31" spans="1:9" x14ac:dyDescent="0.25">
      <c r="A31" s="9"/>
      <c r="B31" s="9" t="s">
        <v>2</v>
      </c>
      <c r="C31" s="10"/>
      <c r="D31" s="10">
        <v>40</v>
      </c>
      <c r="E31" s="10">
        <f t="shared" si="6"/>
        <v>0</v>
      </c>
      <c r="F31" s="10">
        <v>50</v>
      </c>
      <c r="G31"/>
      <c r="H31" s="22">
        <f t="shared" si="7"/>
        <v>0</v>
      </c>
      <c r="I31" s="22">
        <f t="shared" si="8"/>
        <v>0</v>
      </c>
    </row>
    <row r="32" spans="1:9" x14ac:dyDescent="0.25">
      <c r="A32" s="9"/>
      <c r="B32" s="9" t="s">
        <v>3</v>
      </c>
      <c r="C32" s="10"/>
      <c r="D32" s="10">
        <v>100</v>
      </c>
      <c r="E32" s="10">
        <f t="shared" si="6"/>
        <v>0</v>
      </c>
      <c r="F32" s="10">
        <v>130</v>
      </c>
      <c r="G32"/>
      <c r="H32" s="22">
        <f t="shared" si="7"/>
        <v>0</v>
      </c>
      <c r="I32" s="22">
        <f t="shared" si="8"/>
        <v>0</v>
      </c>
    </row>
    <row r="33" spans="1:9" x14ac:dyDescent="0.25">
      <c r="A33" s="9"/>
      <c r="B33" s="9" t="s">
        <v>4</v>
      </c>
      <c r="C33" s="10"/>
      <c r="D33" s="10">
        <v>40</v>
      </c>
      <c r="E33" s="10">
        <f t="shared" si="6"/>
        <v>0</v>
      </c>
      <c r="F33" s="10">
        <v>50</v>
      </c>
      <c r="G33"/>
      <c r="H33" s="22">
        <f t="shared" si="7"/>
        <v>0</v>
      </c>
      <c r="I33" s="22">
        <f t="shared" si="8"/>
        <v>0</v>
      </c>
    </row>
    <row r="34" spans="1:9" x14ac:dyDescent="0.25">
      <c r="A34" s="9"/>
      <c r="B34" s="9" t="s">
        <v>5</v>
      </c>
      <c r="C34" s="10"/>
      <c r="D34" s="10">
        <v>100</v>
      </c>
      <c r="E34" s="10">
        <f t="shared" si="6"/>
        <v>0</v>
      </c>
      <c r="F34" s="10">
        <v>130</v>
      </c>
      <c r="G34"/>
      <c r="H34" s="22">
        <f t="shared" si="7"/>
        <v>0</v>
      </c>
      <c r="I34" s="22">
        <f t="shared" si="8"/>
        <v>0</v>
      </c>
    </row>
    <row r="35" spans="1:9" x14ac:dyDescent="0.25">
      <c r="A35" s="9"/>
      <c r="B35" s="9" t="s">
        <v>6</v>
      </c>
      <c r="C35" s="10"/>
      <c r="D35" s="10">
        <v>40</v>
      </c>
      <c r="E35" s="10">
        <f t="shared" si="6"/>
        <v>0</v>
      </c>
      <c r="F35" s="10">
        <v>50</v>
      </c>
      <c r="G35"/>
      <c r="H35" s="22">
        <f t="shared" si="7"/>
        <v>0</v>
      </c>
      <c r="I35" s="22">
        <f t="shared" si="8"/>
        <v>0</v>
      </c>
    </row>
    <row r="36" spans="1:9" x14ac:dyDescent="0.25">
      <c r="A36" s="9"/>
      <c r="B36" s="9" t="s">
        <v>7</v>
      </c>
      <c r="C36" s="10"/>
      <c r="D36" s="10">
        <v>30</v>
      </c>
      <c r="E36" s="10">
        <f t="shared" si="6"/>
        <v>0</v>
      </c>
      <c r="F36" s="10">
        <v>35</v>
      </c>
      <c r="G36"/>
      <c r="H36" s="22">
        <f t="shared" si="7"/>
        <v>0</v>
      </c>
      <c r="I36" s="22">
        <f t="shared" si="8"/>
        <v>0</v>
      </c>
    </row>
    <row r="37" spans="1:9" x14ac:dyDescent="0.25">
      <c r="A37" s="9"/>
      <c r="B37" s="9" t="s">
        <v>9</v>
      </c>
      <c r="C37" s="10"/>
      <c r="D37" s="10">
        <v>30</v>
      </c>
      <c r="E37" s="10">
        <f t="shared" si="6"/>
        <v>0</v>
      </c>
      <c r="F37" s="10">
        <v>30</v>
      </c>
      <c r="G37"/>
      <c r="H37" s="22">
        <f t="shared" si="7"/>
        <v>0</v>
      </c>
      <c r="I37" s="22">
        <f t="shared" si="8"/>
        <v>0</v>
      </c>
    </row>
    <row r="38" spans="1:9" x14ac:dyDescent="0.25">
      <c r="A38" s="9"/>
      <c r="B38" s="9" t="s">
        <v>8</v>
      </c>
      <c r="C38" s="10"/>
      <c r="D38" s="10">
        <v>35</v>
      </c>
      <c r="E38" s="10">
        <f t="shared" si="6"/>
        <v>0</v>
      </c>
      <c r="F38" s="10">
        <v>35</v>
      </c>
      <c r="G38"/>
      <c r="H38" s="22">
        <f t="shared" si="7"/>
        <v>0</v>
      </c>
      <c r="I38" s="22">
        <f t="shared" si="8"/>
        <v>0</v>
      </c>
    </row>
    <row r="39" spans="1:9" x14ac:dyDescent="0.25">
      <c r="A39" s="9"/>
      <c r="B39" s="9" t="s">
        <v>10</v>
      </c>
      <c r="C39" s="10"/>
      <c r="D39" s="10">
        <v>40</v>
      </c>
      <c r="E39" s="10">
        <f t="shared" si="6"/>
        <v>0</v>
      </c>
      <c r="F39" s="10">
        <v>40</v>
      </c>
      <c r="G39"/>
      <c r="H39" s="22">
        <f t="shared" si="7"/>
        <v>0</v>
      </c>
      <c r="I39" s="22">
        <f t="shared" si="8"/>
        <v>0</v>
      </c>
    </row>
    <row r="40" spans="1:9" x14ac:dyDescent="0.25">
      <c r="A40" s="9"/>
      <c r="B40" s="9" t="s">
        <v>11</v>
      </c>
      <c r="C40" s="10">
        <v>12</v>
      </c>
      <c r="D40" s="10">
        <v>40</v>
      </c>
      <c r="E40" s="10">
        <f t="shared" si="6"/>
        <v>12</v>
      </c>
      <c r="F40" s="10">
        <v>40</v>
      </c>
      <c r="G40"/>
      <c r="H40" s="22">
        <f t="shared" si="7"/>
        <v>0.3</v>
      </c>
      <c r="I40" s="22">
        <f t="shared" si="8"/>
        <v>0.3</v>
      </c>
    </row>
    <row r="41" spans="1:9" x14ac:dyDescent="0.25">
      <c r="G41" s="10" t="s">
        <v>23</v>
      </c>
      <c r="H41" s="24">
        <f>SUM(H30:H40)</f>
        <v>0.3</v>
      </c>
      <c r="I41" s="24">
        <f>SUM(I30:I40)</f>
        <v>0.3</v>
      </c>
    </row>
    <row r="42" spans="1:9" x14ac:dyDescent="0.25">
      <c r="G42"/>
      <c r="H42" s="1"/>
    </row>
    <row r="43" spans="1:9" x14ac:dyDescent="0.25">
      <c r="A43" s="15" t="s">
        <v>14</v>
      </c>
      <c r="B43" s="16" t="s">
        <v>16</v>
      </c>
      <c r="C43" s="16" t="s">
        <v>17</v>
      </c>
      <c r="D43" s="16" t="s">
        <v>18</v>
      </c>
      <c r="E43" s="16" t="s">
        <v>22</v>
      </c>
      <c r="F43" s="16" t="s">
        <v>19</v>
      </c>
      <c r="G43"/>
      <c r="H43" s="16" t="s">
        <v>20</v>
      </c>
      <c r="I43" s="16" t="s">
        <v>21</v>
      </c>
    </row>
    <row r="44" spans="1:9" x14ac:dyDescent="0.25">
      <c r="A44" s="13"/>
      <c r="B44" s="13" t="s">
        <v>1</v>
      </c>
      <c r="C44" s="14"/>
      <c r="D44" s="14">
        <v>1875</v>
      </c>
      <c r="E44" s="14">
        <f t="shared" ref="E44:E54" si="9">IF(C44 &lt;&gt; 0, C44+(F44-D44),0)</f>
        <v>0</v>
      </c>
      <c r="F44" s="14">
        <v>2425</v>
      </c>
      <c r="G44"/>
      <c r="H44" s="22">
        <f t="shared" ref="H44:H54" si="10">C44/D44</f>
        <v>0</v>
      </c>
      <c r="I44" s="22">
        <f t="shared" ref="I44:I54" si="11">E44/F44</f>
        <v>0</v>
      </c>
    </row>
    <row r="45" spans="1:9" x14ac:dyDescent="0.25">
      <c r="A45" s="13"/>
      <c r="B45" s="13" t="s">
        <v>2</v>
      </c>
      <c r="C45" s="14"/>
      <c r="D45" s="14">
        <v>40</v>
      </c>
      <c r="E45" s="14">
        <f t="shared" si="9"/>
        <v>0</v>
      </c>
      <c r="F45" s="14">
        <v>50</v>
      </c>
      <c r="G45"/>
      <c r="H45" s="22">
        <f t="shared" si="10"/>
        <v>0</v>
      </c>
      <c r="I45" s="22">
        <f t="shared" si="11"/>
        <v>0</v>
      </c>
    </row>
    <row r="46" spans="1:9" x14ac:dyDescent="0.25">
      <c r="A46" s="13"/>
      <c r="B46" s="13" t="s">
        <v>3</v>
      </c>
      <c r="C46" s="14"/>
      <c r="D46" s="14">
        <v>100</v>
      </c>
      <c r="E46" s="14">
        <f t="shared" si="9"/>
        <v>0</v>
      </c>
      <c r="F46" s="14">
        <v>130</v>
      </c>
      <c r="G46"/>
      <c r="H46" s="22">
        <f t="shared" si="10"/>
        <v>0</v>
      </c>
      <c r="I46" s="22">
        <f t="shared" si="11"/>
        <v>0</v>
      </c>
    </row>
    <row r="47" spans="1:9" x14ac:dyDescent="0.25">
      <c r="A47" s="13"/>
      <c r="B47" s="13" t="s">
        <v>4</v>
      </c>
      <c r="C47" s="14"/>
      <c r="D47" s="14">
        <v>40</v>
      </c>
      <c r="E47" s="14">
        <f t="shared" si="9"/>
        <v>0</v>
      </c>
      <c r="F47" s="14">
        <v>50</v>
      </c>
      <c r="G47"/>
      <c r="H47" s="22">
        <f t="shared" si="10"/>
        <v>0</v>
      </c>
      <c r="I47" s="22">
        <f t="shared" si="11"/>
        <v>0</v>
      </c>
    </row>
    <row r="48" spans="1:9" x14ac:dyDescent="0.25">
      <c r="A48" s="13"/>
      <c r="B48" s="13" t="s">
        <v>5</v>
      </c>
      <c r="C48" s="14"/>
      <c r="D48" s="14">
        <v>100</v>
      </c>
      <c r="E48" s="14">
        <f t="shared" si="9"/>
        <v>0</v>
      </c>
      <c r="F48" s="14">
        <v>130</v>
      </c>
      <c r="G48"/>
      <c r="H48" s="22">
        <f t="shared" si="10"/>
        <v>0</v>
      </c>
      <c r="I48" s="22">
        <f t="shared" si="11"/>
        <v>0</v>
      </c>
    </row>
    <row r="49" spans="1:9" x14ac:dyDescent="0.25">
      <c r="A49" s="13"/>
      <c r="B49" s="13" t="s">
        <v>6</v>
      </c>
      <c r="C49" s="14"/>
      <c r="D49" s="14">
        <v>40</v>
      </c>
      <c r="E49" s="14">
        <f t="shared" si="9"/>
        <v>0</v>
      </c>
      <c r="F49" s="14">
        <v>50</v>
      </c>
      <c r="G49"/>
      <c r="H49" s="22">
        <f t="shared" si="10"/>
        <v>0</v>
      </c>
      <c r="I49" s="22">
        <f t="shared" si="11"/>
        <v>0</v>
      </c>
    </row>
    <row r="50" spans="1:9" x14ac:dyDescent="0.25">
      <c r="A50" s="13"/>
      <c r="B50" s="13" t="s">
        <v>7</v>
      </c>
      <c r="C50" s="14">
        <v>9</v>
      </c>
      <c r="D50" s="14">
        <v>30</v>
      </c>
      <c r="E50" s="14">
        <f t="shared" si="9"/>
        <v>14</v>
      </c>
      <c r="F50" s="14">
        <v>35</v>
      </c>
      <c r="G50"/>
      <c r="H50" s="22">
        <f t="shared" si="10"/>
        <v>0.3</v>
      </c>
      <c r="I50" s="22">
        <f t="shared" si="11"/>
        <v>0.4</v>
      </c>
    </row>
    <row r="51" spans="1:9" x14ac:dyDescent="0.25">
      <c r="A51" s="13"/>
      <c r="B51" s="13" t="s">
        <v>9</v>
      </c>
      <c r="C51" s="14"/>
      <c r="D51" s="14">
        <v>30</v>
      </c>
      <c r="E51" s="14">
        <f t="shared" si="9"/>
        <v>0</v>
      </c>
      <c r="F51" s="14">
        <v>30</v>
      </c>
      <c r="G51"/>
      <c r="H51" s="22">
        <f t="shared" si="10"/>
        <v>0</v>
      </c>
      <c r="I51" s="22">
        <f t="shared" si="11"/>
        <v>0</v>
      </c>
    </row>
    <row r="52" spans="1:9" x14ac:dyDescent="0.25">
      <c r="A52" s="13"/>
      <c r="B52" s="13" t="s">
        <v>8</v>
      </c>
      <c r="C52" s="14"/>
      <c r="D52" s="14">
        <v>35</v>
      </c>
      <c r="E52" s="14">
        <f t="shared" si="9"/>
        <v>0</v>
      </c>
      <c r="F52" s="14">
        <v>35</v>
      </c>
      <c r="G52"/>
      <c r="H52" s="22">
        <f t="shared" si="10"/>
        <v>0</v>
      </c>
      <c r="I52" s="22">
        <f t="shared" si="11"/>
        <v>0</v>
      </c>
    </row>
    <row r="53" spans="1:9" x14ac:dyDescent="0.25">
      <c r="A53" s="13"/>
      <c r="B53" s="13" t="s">
        <v>10</v>
      </c>
      <c r="C53" s="14"/>
      <c r="D53" s="14">
        <v>40</v>
      </c>
      <c r="E53" s="14">
        <f t="shared" si="9"/>
        <v>0</v>
      </c>
      <c r="F53" s="14">
        <v>40</v>
      </c>
      <c r="G53"/>
      <c r="H53" s="22">
        <f t="shared" si="10"/>
        <v>0</v>
      </c>
      <c r="I53" s="22">
        <f t="shared" si="11"/>
        <v>0</v>
      </c>
    </row>
    <row r="54" spans="1:9" x14ac:dyDescent="0.25">
      <c r="A54" s="13"/>
      <c r="B54" s="13" t="s">
        <v>11</v>
      </c>
      <c r="C54" s="14"/>
      <c r="D54" s="14">
        <v>40</v>
      </c>
      <c r="E54" s="14">
        <f t="shared" si="9"/>
        <v>0</v>
      </c>
      <c r="F54" s="14">
        <v>40</v>
      </c>
      <c r="G54"/>
      <c r="H54" s="22">
        <f t="shared" si="10"/>
        <v>0</v>
      </c>
      <c r="I54" s="22">
        <f t="shared" si="11"/>
        <v>0</v>
      </c>
    </row>
    <row r="55" spans="1:9" x14ac:dyDescent="0.25">
      <c r="G55" s="14" t="s">
        <v>23</v>
      </c>
      <c r="H55" s="25">
        <f>SUM(H44:H54)</f>
        <v>0.3</v>
      </c>
      <c r="I55" s="25">
        <f>SUM(I44:I54)</f>
        <v>0.4</v>
      </c>
    </row>
    <row r="56" spans="1:9" x14ac:dyDescent="0.25">
      <c r="G56"/>
      <c r="H56" s="1"/>
    </row>
    <row r="57" spans="1:9" x14ac:dyDescent="0.25">
      <c r="A57" s="19" t="s">
        <v>15</v>
      </c>
      <c r="B57" s="20" t="s">
        <v>16</v>
      </c>
      <c r="C57" s="20" t="s">
        <v>17</v>
      </c>
      <c r="D57" s="20" t="s">
        <v>18</v>
      </c>
      <c r="E57" s="20" t="s">
        <v>22</v>
      </c>
      <c r="F57" s="20" t="s">
        <v>19</v>
      </c>
      <c r="G57"/>
      <c r="H57" s="20" t="s">
        <v>20</v>
      </c>
      <c r="I57" s="20" t="s">
        <v>21</v>
      </c>
    </row>
    <row r="58" spans="1:9" x14ac:dyDescent="0.25">
      <c r="A58" s="17"/>
      <c r="B58" s="17" t="s">
        <v>1</v>
      </c>
      <c r="C58" s="18"/>
      <c r="D58" s="18">
        <v>1875</v>
      </c>
      <c r="E58" s="18">
        <f t="shared" ref="E58:E68" si="12">IF(C58 &lt;&gt; 0, C58+(F58-D58),0)</f>
        <v>0</v>
      </c>
      <c r="F58" s="18">
        <v>2425</v>
      </c>
      <c r="G58"/>
      <c r="H58" s="22">
        <f t="shared" ref="H58:H68" si="13">C58/D58</f>
        <v>0</v>
      </c>
      <c r="I58" s="22">
        <f t="shared" ref="I58:I68" si="14">E58/F58</f>
        <v>0</v>
      </c>
    </row>
    <row r="59" spans="1:9" x14ac:dyDescent="0.25">
      <c r="A59" s="17"/>
      <c r="B59" s="17" t="s">
        <v>2</v>
      </c>
      <c r="C59" s="18"/>
      <c r="D59" s="18">
        <v>40</v>
      </c>
      <c r="E59" s="18">
        <f t="shared" si="12"/>
        <v>0</v>
      </c>
      <c r="F59" s="18">
        <v>50</v>
      </c>
      <c r="G59"/>
      <c r="H59" s="22">
        <f t="shared" si="13"/>
        <v>0</v>
      </c>
      <c r="I59" s="22">
        <f t="shared" si="14"/>
        <v>0</v>
      </c>
    </row>
    <row r="60" spans="1:9" x14ac:dyDescent="0.25">
      <c r="A60" s="17"/>
      <c r="B60" s="17" t="s">
        <v>3</v>
      </c>
      <c r="C60" s="18"/>
      <c r="D60" s="18">
        <v>100</v>
      </c>
      <c r="E60" s="18">
        <f t="shared" si="12"/>
        <v>0</v>
      </c>
      <c r="F60" s="18">
        <v>130</v>
      </c>
      <c r="G60"/>
      <c r="H60" s="22">
        <f t="shared" si="13"/>
        <v>0</v>
      </c>
      <c r="I60" s="22">
        <f t="shared" si="14"/>
        <v>0</v>
      </c>
    </row>
    <row r="61" spans="1:9" x14ac:dyDescent="0.25">
      <c r="A61" s="17"/>
      <c r="B61" s="17" t="s">
        <v>4</v>
      </c>
      <c r="C61" s="18">
        <v>21</v>
      </c>
      <c r="D61" s="18">
        <v>40</v>
      </c>
      <c r="E61" s="18">
        <f t="shared" si="12"/>
        <v>31</v>
      </c>
      <c r="F61" s="18">
        <v>50</v>
      </c>
      <c r="G61"/>
      <c r="H61" s="22">
        <f t="shared" si="13"/>
        <v>0.52500000000000002</v>
      </c>
      <c r="I61" s="22">
        <f t="shared" si="14"/>
        <v>0.62</v>
      </c>
    </row>
    <row r="62" spans="1:9" x14ac:dyDescent="0.25">
      <c r="A62" s="17"/>
      <c r="B62" s="17" t="s">
        <v>5</v>
      </c>
      <c r="C62" s="18"/>
      <c r="D62" s="18">
        <v>100</v>
      </c>
      <c r="E62" s="18">
        <f t="shared" si="12"/>
        <v>0</v>
      </c>
      <c r="F62" s="18">
        <v>130</v>
      </c>
      <c r="G62"/>
      <c r="H62" s="22">
        <f t="shared" si="13"/>
        <v>0</v>
      </c>
      <c r="I62" s="22">
        <f t="shared" si="14"/>
        <v>0</v>
      </c>
    </row>
    <row r="63" spans="1:9" x14ac:dyDescent="0.25">
      <c r="A63" s="17"/>
      <c r="B63" s="17" t="s">
        <v>6</v>
      </c>
      <c r="C63" s="18"/>
      <c r="D63" s="18">
        <v>40</v>
      </c>
      <c r="E63" s="18">
        <f t="shared" si="12"/>
        <v>0</v>
      </c>
      <c r="F63" s="18">
        <v>50</v>
      </c>
      <c r="G63"/>
      <c r="H63" s="22">
        <f t="shared" si="13"/>
        <v>0</v>
      </c>
      <c r="I63" s="22">
        <f t="shared" si="14"/>
        <v>0</v>
      </c>
    </row>
    <row r="64" spans="1:9" x14ac:dyDescent="0.25">
      <c r="A64" s="17"/>
      <c r="B64" s="17" t="s">
        <v>7</v>
      </c>
      <c r="C64" s="18"/>
      <c r="D64" s="18">
        <v>30</v>
      </c>
      <c r="E64" s="18">
        <f t="shared" si="12"/>
        <v>0</v>
      </c>
      <c r="F64" s="18">
        <v>35</v>
      </c>
      <c r="G64"/>
      <c r="H64" s="22">
        <f t="shared" si="13"/>
        <v>0</v>
      </c>
      <c r="I64" s="22">
        <f t="shared" si="14"/>
        <v>0</v>
      </c>
    </row>
    <row r="65" spans="1:9" x14ac:dyDescent="0.25">
      <c r="A65" s="17"/>
      <c r="B65" s="17" t="s">
        <v>9</v>
      </c>
      <c r="C65" s="18"/>
      <c r="D65" s="18">
        <v>30</v>
      </c>
      <c r="E65" s="18">
        <f t="shared" si="12"/>
        <v>0</v>
      </c>
      <c r="F65" s="18">
        <v>30</v>
      </c>
      <c r="G65"/>
      <c r="H65" s="22">
        <f t="shared" si="13"/>
        <v>0</v>
      </c>
      <c r="I65" s="22">
        <f t="shared" si="14"/>
        <v>0</v>
      </c>
    </row>
    <row r="66" spans="1:9" x14ac:dyDescent="0.25">
      <c r="A66" s="17"/>
      <c r="B66" s="17" t="s">
        <v>8</v>
      </c>
      <c r="C66" s="18"/>
      <c r="D66" s="18">
        <v>35</v>
      </c>
      <c r="E66" s="18">
        <f t="shared" si="12"/>
        <v>0</v>
      </c>
      <c r="F66" s="18">
        <v>35</v>
      </c>
      <c r="G66"/>
      <c r="H66" s="22">
        <f t="shared" si="13"/>
        <v>0</v>
      </c>
      <c r="I66" s="22">
        <f t="shared" si="14"/>
        <v>0</v>
      </c>
    </row>
    <row r="67" spans="1:9" x14ac:dyDescent="0.25">
      <c r="A67" s="17"/>
      <c r="B67" s="17" t="s">
        <v>10</v>
      </c>
      <c r="C67" s="18"/>
      <c r="D67" s="18">
        <v>40</v>
      </c>
      <c r="E67" s="18">
        <f t="shared" si="12"/>
        <v>0</v>
      </c>
      <c r="F67" s="18">
        <v>40</v>
      </c>
      <c r="G67"/>
      <c r="H67" s="22">
        <f t="shared" si="13"/>
        <v>0</v>
      </c>
      <c r="I67" s="22">
        <f t="shared" si="14"/>
        <v>0</v>
      </c>
    </row>
    <row r="68" spans="1:9" x14ac:dyDescent="0.25">
      <c r="A68" s="17"/>
      <c r="B68" s="17" t="s">
        <v>11</v>
      </c>
      <c r="C68" s="18"/>
      <c r="D68" s="18">
        <v>40</v>
      </c>
      <c r="E68" s="18">
        <f t="shared" si="12"/>
        <v>0</v>
      </c>
      <c r="F68" s="18">
        <v>40</v>
      </c>
      <c r="G68"/>
      <c r="H68" s="22">
        <f t="shared" si="13"/>
        <v>0</v>
      </c>
      <c r="I68" s="22">
        <f t="shared" si="14"/>
        <v>0</v>
      </c>
    </row>
    <row r="69" spans="1:9" x14ac:dyDescent="0.25">
      <c r="G69" s="18" t="s">
        <v>23</v>
      </c>
      <c r="H69" s="26">
        <f>SUM(H58:H68)</f>
        <v>0.52500000000000002</v>
      </c>
      <c r="I69" s="26">
        <f>SUM(I58:I68)</f>
        <v>0.62</v>
      </c>
    </row>
    <row r="70" spans="1:9" x14ac:dyDescent="0.25">
      <c r="B70" s="1"/>
      <c r="C70" s="1" t="s">
        <v>25</v>
      </c>
      <c r="D70" s="1" t="s">
        <v>26</v>
      </c>
    </row>
    <row r="71" spans="1:9" x14ac:dyDescent="0.25">
      <c r="B71" s="1" t="s">
        <v>24</v>
      </c>
      <c r="C71" s="22">
        <f>H13+H27+H41+H55+H69</f>
        <v>2.4392857142857145</v>
      </c>
      <c r="D71" s="22">
        <f>I13+I27+I41+I55+I69</f>
        <v>2.6342857142857143</v>
      </c>
    </row>
    <row r="72" spans="1:9" x14ac:dyDescent="0.25">
      <c r="B72" s="1" t="s">
        <v>28</v>
      </c>
      <c r="C72" s="1">
        <f>IF(H13&lt;&gt;0,3,2.8)</f>
        <v>3</v>
      </c>
    </row>
    <row r="73" spans="1:9" x14ac:dyDescent="0.25">
      <c r="B73" s="1" t="s">
        <v>27</v>
      </c>
      <c r="C73" s="27">
        <f>(C71/$C$72)*100</f>
        <v>81.309523809523824</v>
      </c>
      <c r="D73" s="27">
        <f>(D71/$C$72)*100</f>
        <v>87.80952380952381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F50EF-54F4-4089-A148-8236707349A8}">
  <dimension ref="A1:J73"/>
  <sheetViews>
    <sheetView tabSelected="1" topLeftCell="B1" workbookViewId="0">
      <selection activeCell="E62" sqref="E62"/>
    </sheetView>
  </sheetViews>
  <sheetFormatPr baseColWidth="10" defaultRowHeight="15" x14ac:dyDescent="0.25"/>
  <cols>
    <col min="2" max="2" width="14.85546875" bestFit="1" customWidth="1"/>
    <col min="3" max="3" width="11.42578125" style="1" customWidth="1"/>
    <col min="4" max="4" width="13.28515625" style="1" customWidth="1"/>
    <col min="5" max="6" width="19.140625" style="1" customWidth="1"/>
    <col min="7" max="7" width="14" style="1" customWidth="1"/>
    <col min="8" max="8" width="12.85546875" bestFit="1" customWidth="1"/>
    <col min="9" max="10" width="14.7109375" style="1" bestFit="1" customWidth="1"/>
  </cols>
  <sheetData>
    <row r="1" spans="1:9" x14ac:dyDescent="0.25">
      <c r="A1" s="4" t="s">
        <v>0</v>
      </c>
      <c r="B1" s="4" t="s">
        <v>16</v>
      </c>
      <c r="C1" s="4" t="s">
        <v>17</v>
      </c>
      <c r="D1" s="4" t="s">
        <v>18</v>
      </c>
      <c r="E1" s="4" t="s">
        <v>22</v>
      </c>
      <c r="F1" s="4" t="s">
        <v>19</v>
      </c>
      <c r="G1"/>
      <c r="H1" s="4" t="s">
        <v>20</v>
      </c>
      <c r="I1" s="4" t="s">
        <v>21</v>
      </c>
    </row>
    <row r="2" spans="1:9" x14ac:dyDescent="0.25">
      <c r="A2" s="3"/>
      <c r="B2" s="3" t="s">
        <v>1</v>
      </c>
      <c r="C2" s="2"/>
      <c r="D2" s="2">
        <v>355</v>
      </c>
      <c r="E2" s="2">
        <f t="shared" ref="E2:E12" si="0">IF(C2 &lt;&gt; 0, C2+(F2-D2),0)</f>
        <v>0</v>
      </c>
      <c r="F2" s="2">
        <v>355</v>
      </c>
      <c r="G2"/>
      <c r="H2" s="22">
        <f t="shared" ref="H2:H12" si="1">C2/D2</f>
        <v>0</v>
      </c>
      <c r="I2" s="22">
        <f t="shared" ref="I2:I12" si="2">E2/F2</f>
        <v>0</v>
      </c>
    </row>
    <row r="3" spans="1:9" x14ac:dyDescent="0.25">
      <c r="A3" s="3"/>
      <c r="B3" s="3" t="s">
        <v>2</v>
      </c>
      <c r="C3" s="2">
        <v>8</v>
      </c>
      <c r="D3" s="2">
        <v>8</v>
      </c>
      <c r="E3" s="2">
        <f t="shared" si="0"/>
        <v>8</v>
      </c>
      <c r="F3" s="2">
        <v>8</v>
      </c>
      <c r="G3"/>
      <c r="H3" s="22">
        <f t="shared" si="1"/>
        <v>1</v>
      </c>
      <c r="I3" s="22">
        <f t="shared" si="2"/>
        <v>1</v>
      </c>
    </row>
    <row r="4" spans="1:9" x14ac:dyDescent="0.25">
      <c r="A4" s="3"/>
      <c r="B4" s="3" t="s">
        <v>3</v>
      </c>
      <c r="C4" s="2"/>
      <c r="D4" s="2">
        <v>17</v>
      </c>
      <c r="E4" s="2">
        <f t="shared" si="0"/>
        <v>0</v>
      </c>
      <c r="F4" s="2">
        <v>17</v>
      </c>
      <c r="G4"/>
      <c r="H4" s="22">
        <f t="shared" si="1"/>
        <v>0</v>
      </c>
      <c r="I4" s="22">
        <f t="shared" si="2"/>
        <v>0</v>
      </c>
    </row>
    <row r="5" spans="1:9" x14ac:dyDescent="0.25">
      <c r="A5" s="3"/>
      <c r="B5" s="3" t="s">
        <v>4</v>
      </c>
      <c r="C5" s="2"/>
      <c r="D5" s="2">
        <v>8</v>
      </c>
      <c r="E5" s="2">
        <f t="shared" si="0"/>
        <v>0</v>
      </c>
      <c r="F5" s="2">
        <v>8</v>
      </c>
      <c r="G5"/>
      <c r="H5" s="22">
        <f t="shared" si="1"/>
        <v>0</v>
      </c>
      <c r="I5" s="22">
        <f t="shared" si="2"/>
        <v>0</v>
      </c>
    </row>
    <row r="6" spans="1:9" x14ac:dyDescent="0.25">
      <c r="A6" s="3"/>
      <c r="B6" s="3" t="s">
        <v>5</v>
      </c>
      <c r="C6" s="2"/>
      <c r="D6" s="2">
        <v>17</v>
      </c>
      <c r="E6" s="2">
        <f t="shared" si="0"/>
        <v>0</v>
      </c>
      <c r="F6" s="2">
        <v>17</v>
      </c>
      <c r="G6"/>
      <c r="H6" s="22">
        <f t="shared" si="1"/>
        <v>0</v>
      </c>
      <c r="I6" s="22">
        <f t="shared" si="2"/>
        <v>0</v>
      </c>
    </row>
    <row r="7" spans="1:9" x14ac:dyDescent="0.25">
      <c r="A7" s="3"/>
      <c r="B7" s="3" t="s">
        <v>6</v>
      </c>
      <c r="C7" s="2"/>
      <c r="D7" s="2">
        <v>8</v>
      </c>
      <c r="E7" s="2">
        <f t="shared" si="0"/>
        <v>0</v>
      </c>
      <c r="F7" s="2">
        <v>8</v>
      </c>
      <c r="G7"/>
      <c r="H7" s="22">
        <f t="shared" si="1"/>
        <v>0</v>
      </c>
      <c r="I7" s="22">
        <f t="shared" si="2"/>
        <v>0</v>
      </c>
    </row>
    <row r="8" spans="1:9" x14ac:dyDescent="0.25">
      <c r="A8" s="3"/>
      <c r="B8" s="3" t="s">
        <v>7</v>
      </c>
      <c r="C8" s="2"/>
      <c r="D8" s="2">
        <v>6</v>
      </c>
      <c r="E8" s="2">
        <f t="shared" si="0"/>
        <v>0</v>
      </c>
      <c r="F8" s="2">
        <v>6</v>
      </c>
      <c r="G8"/>
      <c r="H8" s="22">
        <f t="shared" si="1"/>
        <v>0</v>
      </c>
      <c r="I8" s="22">
        <f t="shared" si="2"/>
        <v>0</v>
      </c>
    </row>
    <row r="9" spans="1:9" x14ac:dyDescent="0.25">
      <c r="A9" s="3"/>
      <c r="B9" s="3" t="s">
        <v>9</v>
      </c>
      <c r="C9" s="2"/>
      <c r="D9" s="2">
        <v>6</v>
      </c>
      <c r="E9" s="2">
        <f t="shared" si="0"/>
        <v>0</v>
      </c>
      <c r="F9" s="2">
        <v>6</v>
      </c>
      <c r="G9"/>
      <c r="H9" s="22">
        <f t="shared" si="1"/>
        <v>0</v>
      </c>
      <c r="I9" s="22">
        <f t="shared" si="2"/>
        <v>0</v>
      </c>
    </row>
    <row r="10" spans="1:9" x14ac:dyDescent="0.25">
      <c r="A10" s="3"/>
      <c r="B10" s="3" t="s">
        <v>8</v>
      </c>
      <c r="C10" s="2"/>
      <c r="D10" s="2">
        <v>7</v>
      </c>
      <c r="E10" s="2">
        <f t="shared" si="0"/>
        <v>0</v>
      </c>
      <c r="F10" s="2">
        <v>7</v>
      </c>
      <c r="G10"/>
      <c r="H10" s="22">
        <f t="shared" si="1"/>
        <v>0</v>
      </c>
      <c r="I10" s="22">
        <f t="shared" si="2"/>
        <v>0</v>
      </c>
    </row>
    <row r="11" spans="1:9" x14ac:dyDescent="0.25">
      <c r="A11" s="3"/>
      <c r="B11" s="3" t="s">
        <v>10</v>
      </c>
      <c r="C11" s="2"/>
      <c r="D11" s="2">
        <v>8</v>
      </c>
      <c r="E11" s="2">
        <f t="shared" si="0"/>
        <v>0</v>
      </c>
      <c r="F11" s="2">
        <v>8</v>
      </c>
      <c r="G11"/>
      <c r="H11" s="22">
        <f t="shared" si="1"/>
        <v>0</v>
      </c>
      <c r="I11" s="22">
        <f t="shared" si="2"/>
        <v>0</v>
      </c>
    </row>
    <row r="12" spans="1:9" x14ac:dyDescent="0.25">
      <c r="A12" s="3"/>
      <c r="B12" s="3" t="s">
        <v>11</v>
      </c>
      <c r="C12" s="2"/>
      <c r="D12" s="2">
        <v>8</v>
      </c>
      <c r="E12" s="2">
        <f t="shared" si="0"/>
        <v>0</v>
      </c>
      <c r="F12" s="2">
        <v>8</v>
      </c>
      <c r="G12"/>
      <c r="H12" s="22">
        <f t="shared" si="1"/>
        <v>0</v>
      </c>
      <c r="I12" s="22">
        <f t="shared" si="2"/>
        <v>0</v>
      </c>
    </row>
    <row r="13" spans="1:9" x14ac:dyDescent="0.25">
      <c r="G13" s="2" t="s">
        <v>23</v>
      </c>
      <c r="H13" s="21">
        <f>SUM(H2:H12)</f>
        <v>1</v>
      </c>
      <c r="I13" s="21">
        <f>SUM(I2:I12)</f>
        <v>1</v>
      </c>
    </row>
    <row r="15" spans="1:9" x14ac:dyDescent="0.25">
      <c r="A15" s="7" t="s">
        <v>12</v>
      </c>
      <c r="B15" s="8" t="s">
        <v>16</v>
      </c>
      <c r="C15" s="8" t="s">
        <v>17</v>
      </c>
      <c r="D15" s="8" t="s">
        <v>18</v>
      </c>
      <c r="E15" s="8" t="s">
        <v>22</v>
      </c>
      <c r="F15" s="8" t="s">
        <v>19</v>
      </c>
      <c r="G15"/>
      <c r="H15" s="8" t="s">
        <v>20</v>
      </c>
      <c r="I15" s="8" t="s">
        <v>21</v>
      </c>
    </row>
    <row r="16" spans="1:9" x14ac:dyDescent="0.25">
      <c r="A16" s="5"/>
      <c r="B16" s="5" t="s">
        <v>1</v>
      </c>
      <c r="C16" s="6"/>
      <c r="D16" s="6">
        <v>1875</v>
      </c>
      <c r="E16" s="6">
        <f t="shared" ref="E16:E26" si="3">IF(C16 &lt;&gt; 0, C16+(F16-D16),0)</f>
        <v>0</v>
      </c>
      <c r="F16" s="6">
        <v>2425</v>
      </c>
      <c r="G16"/>
      <c r="H16" s="22">
        <f t="shared" ref="H16:H26" si="4">C16/D16</f>
        <v>0</v>
      </c>
      <c r="I16" s="22">
        <f t="shared" ref="I16:I26" si="5">E16/F16</f>
        <v>0</v>
      </c>
    </row>
    <row r="17" spans="1:9" x14ac:dyDescent="0.25">
      <c r="A17" s="5"/>
      <c r="B17" s="5" t="s">
        <v>2</v>
      </c>
      <c r="C17" s="6"/>
      <c r="D17" s="6">
        <v>40</v>
      </c>
      <c r="E17" s="6">
        <f t="shared" si="3"/>
        <v>0</v>
      </c>
      <c r="F17" s="6">
        <v>50</v>
      </c>
      <c r="G17"/>
      <c r="H17" s="22">
        <f t="shared" si="4"/>
        <v>0</v>
      </c>
      <c r="I17" s="22">
        <f t="shared" si="5"/>
        <v>0</v>
      </c>
    </row>
    <row r="18" spans="1:9" x14ac:dyDescent="0.25">
      <c r="A18" s="5"/>
      <c r="B18" s="5" t="s">
        <v>3</v>
      </c>
      <c r="C18" s="6"/>
      <c r="D18" s="6">
        <v>100</v>
      </c>
      <c r="E18" s="6">
        <f t="shared" si="3"/>
        <v>0</v>
      </c>
      <c r="F18" s="6">
        <v>130</v>
      </c>
      <c r="G18"/>
      <c r="H18" s="22">
        <f t="shared" si="4"/>
        <v>0</v>
      </c>
      <c r="I18" s="22">
        <f t="shared" si="5"/>
        <v>0</v>
      </c>
    </row>
    <row r="19" spans="1:9" x14ac:dyDescent="0.25">
      <c r="A19" s="5"/>
      <c r="B19" s="5" t="s">
        <v>4</v>
      </c>
      <c r="C19" s="6"/>
      <c r="D19" s="6">
        <v>40</v>
      </c>
      <c r="E19" s="6">
        <f t="shared" si="3"/>
        <v>0</v>
      </c>
      <c r="F19" s="6">
        <v>50</v>
      </c>
      <c r="G19"/>
      <c r="H19" s="22">
        <f t="shared" si="4"/>
        <v>0</v>
      </c>
      <c r="I19" s="22">
        <f t="shared" si="5"/>
        <v>0</v>
      </c>
    </row>
    <row r="20" spans="1:9" x14ac:dyDescent="0.25">
      <c r="A20" s="5"/>
      <c r="B20" s="5" t="s">
        <v>5</v>
      </c>
      <c r="C20" s="6"/>
      <c r="D20" s="6">
        <v>100</v>
      </c>
      <c r="E20" s="6">
        <f t="shared" si="3"/>
        <v>0</v>
      </c>
      <c r="F20" s="6">
        <v>130</v>
      </c>
      <c r="G20"/>
      <c r="H20" s="22">
        <f t="shared" si="4"/>
        <v>0</v>
      </c>
      <c r="I20" s="22">
        <f t="shared" si="5"/>
        <v>0</v>
      </c>
    </row>
    <row r="21" spans="1:9" x14ac:dyDescent="0.25">
      <c r="A21" s="5"/>
      <c r="B21" s="5" t="s">
        <v>6</v>
      </c>
      <c r="C21" s="6"/>
      <c r="D21" s="6">
        <v>40</v>
      </c>
      <c r="E21" s="6">
        <f t="shared" si="3"/>
        <v>0</v>
      </c>
      <c r="F21" s="6">
        <v>50</v>
      </c>
      <c r="G21"/>
      <c r="H21" s="22">
        <f t="shared" si="4"/>
        <v>0</v>
      </c>
      <c r="I21" s="22">
        <f t="shared" si="5"/>
        <v>0</v>
      </c>
    </row>
    <row r="22" spans="1:9" x14ac:dyDescent="0.25">
      <c r="A22" s="5"/>
      <c r="B22" s="5" t="s">
        <v>7</v>
      </c>
      <c r="C22" s="6"/>
      <c r="D22" s="6">
        <v>30</v>
      </c>
      <c r="E22" s="6">
        <f t="shared" si="3"/>
        <v>0</v>
      </c>
      <c r="F22" s="6">
        <v>35</v>
      </c>
      <c r="G22"/>
      <c r="H22" s="22">
        <f t="shared" si="4"/>
        <v>0</v>
      </c>
      <c r="I22" s="22">
        <f t="shared" si="5"/>
        <v>0</v>
      </c>
    </row>
    <row r="23" spans="1:9" x14ac:dyDescent="0.25">
      <c r="A23" s="5"/>
      <c r="B23" s="5" t="s">
        <v>9</v>
      </c>
      <c r="C23" s="6"/>
      <c r="D23" s="6">
        <v>30</v>
      </c>
      <c r="E23" s="6">
        <f t="shared" si="3"/>
        <v>0</v>
      </c>
      <c r="F23" s="6">
        <v>30</v>
      </c>
      <c r="G23"/>
      <c r="H23" s="22">
        <f t="shared" si="4"/>
        <v>0</v>
      </c>
      <c r="I23" s="22">
        <f t="shared" si="5"/>
        <v>0</v>
      </c>
    </row>
    <row r="24" spans="1:9" x14ac:dyDescent="0.25">
      <c r="A24" s="5"/>
      <c r="B24" s="5" t="s">
        <v>8</v>
      </c>
      <c r="C24" s="6">
        <v>11</v>
      </c>
      <c r="D24" s="6">
        <v>35</v>
      </c>
      <c r="E24" s="6">
        <f t="shared" si="3"/>
        <v>11</v>
      </c>
      <c r="F24" s="6">
        <v>35</v>
      </c>
      <c r="G24"/>
      <c r="H24" s="22">
        <f t="shared" si="4"/>
        <v>0.31428571428571428</v>
      </c>
      <c r="I24" s="22">
        <f t="shared" si="5"/>
        <v>0.31428571428571428</v>
      </c>
    </row>
    <row r="25" spans="1:9" x14ac:dyDescent="0.25">
      <c r="A25" s="5"/>
      <c r="B25" s="5" t="s">
        <v>10</v>
      </c>
      <c r="C25" s="6"/>
      <c r="D25" s="6">
        <v>40</v>
      </c>
      <c r="E25" s="6">
        <f t="shared" si="3"/>
        <v>0</v>
      </c>
      <c r="F25" s="6">
        <v>40</v>
      </c>
      <c r="G25"/>
      <c r="H25" s="22">
        <f t="shared" si="4"/>
        <v>0</v>
      </c>
      <c r="I25" s="22">
        <f t="shared" si="5"/>
        <v>0</v>
      </c>
    </row>
    <row r="26" spans="1:9" x14ac:dyDescent="0.25">
      <c r="A26" s="5"/>
      <c r="B26" s="5" t="s">
        <v>11</v>
      </c>
      <c r="C26" s="6"/>
      <c r="D26" s="6">
        <v>40</v>
      </c>
      <c r="E26" s="6">
        <f t="shared" si="3"/>
        <v>0</v>
      </c>
      <c r="F26" s="6">
        <v>40</v>
      </c>
      <c r="G26"/>
      <c r="H26" s="22">
        <f t="shared" si="4"/>
        <v>0</v>
      </c>
      <c r="I26" s="22">
        <f t="shared" si="5"/>
        <v>0</v>
      </c>
    </row>
    <row r="27" spans="1:9" x14ac:dyDescent="0.25">
      <c r="G27" s="6" t="s">
        <v>23</v>
      </c>
      <c r="H27" s="23">
        <f>SUM(H16:H26)</f>
        <v>0.31428571428571428</v>
      </c>
      <c r="I27" s="23">
        <f>SUM(I16:I26)</f>
        <v>0.31428571428571428</v>
      </c>
    </row>
    <row r="28" spans="1:9" x14ac:dyDescent="0.25">
      <c r="G28"/>
      <c r="H28" s="1"/>
    </row>
    <row r="29" spans="1:9" x14ac:dyDescent="0.25">
      <c r="A29" s="11" t="s">
        <v>13</v>
      </c>
      <c r="B29" s="12" t="s">
        <v>16</v>
      </c>
      <c r="C29" s="12" t="s">
        <v>17</v>
      </c>
      <c r="D29" s="12" t="s">
        <v>18</v>
      </c>
      <c r="E29" s="12" t="s">
        <v>22</v>
      </c>
      <c r="F29" s="12" t="s">
        <v>19</v>
      </c>
      <c r="G29"/>
      <c r="H29" s="12" t="s">
        <v>20</v>
      </c>
      <c r="I29" s="12" t="s">
        <v>21</v>
      </c>
    </row>
    <row r="30" spans="1:9" x14ac:dyDescent="0.25">
      <c r="A30" s="9"/>
      <c r="B30" s="9" t="s">
        <v>1</v>
      </c>
      <c r="C30" s="10"/>
      <c r="D30" s="10">
        <v>1875</v>
      </c>
      <c r="E30" s="10">
        <f t="shared" ref="E30:E40" si="6">IF(C30 &lt;&gt; 0, C30+(F30-D30),0)</f>
        <v>0</v>
      </c>
      <c r="F30" s="10">
        <v>2425</v>
      </c>
      <c r="G30"/>
      <c r="H30" s="22">
        <f t="shared" ref="H30:H40" si="7">C30/D30</f>
        <v>0</v>
      </c>
      <c r="I30" s="22">
        <f t="shared" ref="I30:I40" si="8">E30/F30</f>
        <v>0</v>
      </c>
    </row>
    <row r="31" spans="1:9" x14ac:dyDescent="0.25">
      <c r="A31" s="9"/>
      <c r="B31" s="9" t="s">
        <v>2</v>
      </c>
      <c r="C31" s="10"/>
      <c r="D31" s="10">
        <v>40</v>
      </c>
      <c r="E31" s="10">
        <f t="shared" si="6"/>
        <v>0</v>
      </c>
      <c r="F31" s="10">
        <v>50</v>
      </c>
      <c r="G31"/>
      <c r="H31" s="22">
        <f t="shared" si="7"/>
        <v>0</v>
      </c>
      <c r="I31" s="22">
        <f t="shared" si="8"/>
        <v>0</v>
      </c>
    </row>
    <row r="32" spans="1:9" x14ac:dyDescent="0.25">
      <c r="A32" s="9"/>
      <c r="B32" s="9" t="s">
        <v>3</v>
      </c>
      <c r="C32" s="10"/>
      <c r="D32" s="10">
        <v>100</v>
      </c>
      <c r="E32" s="10">
        <f t="shared" si="6"/>
        <v>0</v>
      </c>
      <c r="F32" s="10">
        <v>130</v>
      </c>
      <c r="G32"/>
      <c r="H32" s="22">
        <f t="shared" si="7"/>
        <v>0</v>
      </c>
      <c r="I32" s="22">
        <f t="shared" si="8"/>
        <v>0</v>
      </c>
    </row>
    <row r="33" spans="1:9" x14ac:dyDescent="0.25">
      <c r="A33" s="9"/>
      <c r="B33" s="9" t="s">
        <v>4</v>
      </c>
      <c r="C33" s="10"/>
      <c r="D33" s="10">
        <v>40</v>
      </c>
      <c r="E33" s="10">
        <f t="shared" si="6"/>
        <v>0</v>
      </c>
      <c r="F33" s="10">
        <v>50</v>
      </c>
      <c r="G33"/>
      <c r="H33" s="22">
        <f t="shared" si="7"/>
        <v>0</v>
      </c>
      <c r="I33" s="22">
        <f t="shared" si="8"/>
        <v>0</v>
      </c>
    </row>
    <row r="34" spans="1:9" x14ac:dyDescent="0.25">
      <c r="A34" s="9"/>
      <c r="B34" s="9" t="s">
        <v>5</v>
      </c>
      <c r="C34" s="10"/>
      <c r="D34" s="10">
        <v>100</v>
      </c>
      <c r="E34" s="10">
        <f t="shared" si="6"/>
        <v>0</v>
      </c>
      <c r="F34" s="10">
        <v>130</v>
      </c>
      <c r="G34"/>
      <c r="H34" s="22">
        <f t="shared" si="7"/>
        <v>0</v>
      </c>
      <c r="I34" s="22">
        <f t="shared" si="8"/>
        <v>0</v>
      </c>
    </row>
    <row r="35" spans="1:9" x14ac:dyDescent="0.25">
      <c r="A35" s="9"/>
      <c r="B35" s="9" t="s">
        <v>6</v>
      </c>
      <c r="C35" s="10"/>
      <c r="D35" s="10">
        <v>40</v>
      </c>
      <c r="E35" s="10">
        <f t="shared" si="6"/>
        <v>0</v>
      </c>
      <c r="F35" s="10">
        <v>50</v>
      </c>
      <c r="G35"/>
      <c r="H35" s="22">
        <f t="shared" si="7"/>
        <v>0</v>
      </c>
      <c r="I35" s="22">
        <f t="shared" si="8"/>
        <v>0</v>
      </c>
    </row>
    <row r="36" spans="1:9" x14ac:dyDescent="0.25">
      <c r="A36" s="9"/>
      <c r="B36" s="9" t="s">
        <v>7</v>
      </c>
      <c r="C36" s="10"/>
      <c r="D36" s="10">
        <v>30</v>
      </c>
      <c r="E36" s="10">
        <f t="shared" si="6"/>
        <v>0</v>
      </c>
      <c r="F36" s="10">
        <v>35</v>
      </c>
      <c r="G36"/>
      <c r="H36" s="22">
        <f t="shared" si="7"/>
        <v>0</v>
      </c>
      <c r="I36" s="22">
        <f t="shared" si="8"/>
        <v>0</v>
      </c>
    </row>
    <row r="37" spans="1:9" x14ac:dyDescent="0.25">
      <c r="A37" s="9"/>
      <c r="B37" s="9" t="s">
        <v>9</v>
      </c>
      <c r="C37" s="10"/>
      <c r="D37" s="10">
        <v>30</v>
      </c>
      <c r="E37" s="10">
        <f t="shared" si="6"/>
        <v>0</v>
      </c>
      <c r="F37" s="10">
        <v>30</v>
      </c>
      <c r="G37"/>
      <c r="H37" s="22">
        <f t="shared" si="7"/>
        <v>0</v>
      </c>
      <c r="I37" s="22">
        <f t="shared" si="8"/>
        <v>0</v>
      </c>
    </row>
    <row r="38" spans="1:9" x14ac:dyDescent="0.25">
      <c r="A38" s="9"/>
      <c r="B38" s="9" t="s">
        <v>8</v>
      </c>
      <c r="C38" s="10"/>
      <c r="D38" s="10">
        <v>35</v>
      </c>
      <c r="E38" s="10">
        <f t="shared" si="6"/>
        <v>0</v>
      </c>
      <c r="F38" s="10">
        <v>35</v>
      </c>
      <c r="G38"/>
      <c r="H38" s="22">
        <f t="shared" si="7"/>
        <v>0</v>
      </c>
      <c r="I38" s="22">
        <f t="shared" si="8"/>
        <v>0</v>
      </c>
    </row>
    <row r="39" spans="1:9" x14ac:dyDescent="0.25">
      <c r="A39" s="9"/>
      <c r="B39" s="9" t="s">
        <v>10</v>
      </c>
      <c r="C39" s="10"/>
      <c r="D39" s="10">
        <v>40</v>
      </c>
      <c r="E39" s="10">
        <f t="shared" si="6"/>
        <v>0</v>
      </c>
      <c r="F39" s="10">
        <v>40</v>
      </c>
      <c r="G39"/>
      <c r="H39" s="22">
        <f t="shared" si="7"/>
        <v>0</v>
      </c>
      <c r="I39" s="22">
        <f t="shared" si="8"/>
        <v>0</v>
      </c>
    </row>
    <row r="40" spans="1:9" x14ac:dyDescent="0.25">
      <c r="A40" s="9"/>
      <c r="B40" s="9" t="s">
        <v>11</v>
      </c>
      <c r="C40" s="10">
        <v>12</v>
      </c>
      <c r="D40" s="10">
        <v>40</v>
      </c>
      <c r="E40" s="10">
        <f t="shared" si="6"/>
        <v>12</v>
      </c>
      <c r="F40" s="10">
        <v>40</v>
      </c>
      <c r="G40"/>
      <c r="H40" s="22">
        <f t="shared" si="7"/>
        <v>0.3</v>
      </c>
      <c r="I40" s="22">
        <f t="shared" si="8"/>
        <v>0.3</v>
      </c>
    </row>
    <row r="41" spans="1:9" x14ac:dyDescent="0.25">
      <c r="G41" s="10" t="s">
        <v>23</v>
      </c>
      <c r="H41" s="24">
        <f>SUM(H30:H40)</f>
        <v>0.3</v>
      </c>
      <c r="I41" s="24">
        <f>SUM(I30:I40)</f>
        <v>0.3</v>
      </c>
    </row>
    <row r="42" spans="1:9" x14ac:dyDescent="0.25">
      <c r="G42"/>
      <c r="H42" s="1"/>
    </row>
    <row r="43" spans="1:9" x14ac:dyDescent="0.25">
      <c r="A43" s="15" t="s">
        <v>14</v>
      </c>
      <c r="B43" s="16" t="s">
        <v>16</v>
      </c>
      <c r="C43" s="16" t="s">
        <v>17</v>
      </c>
      <c r="D43" s="16" t="s">
        <v>18</v>
      </c>
      <c r="E43" s="16" t="s">
        <v>22</v>
      </c>
      <c r="F43" s="16" t="s">
        <v>19</v>
      </c>
      <c r="G43"/>
      <c r="H43" s="16" t="s">
        <v>20</v>
      </c>
      <c r="I43" s="16" t="s">
        <v>21</v>
      </c>
    </row>
    <row r="44" spans="1:9" x14ac:dyDescent="0.25">
      <c r="A44" s="13"/>
      <c r="B44" s="13" t="s">
        <v>1</v>
      </c>
      <c r="C44" s="14"/>
      <c r="D44" s="14">
        <v>1875</v>
      </c>
      <c r="E44" s="14">
        <f t="shared" ref="E44:E54" si="9">IF(C44 &lt;&gt; 0, C44+(F44-D44),0)</f>
        <v>0</v>
      </c>
      <c r="F44" s="14">
        <v>2425</v>
      </c>
      <c r="G44"/>
      <c r="H44" s="22">
        <f t="shared" ref="H44:H54" si="10">C44/D44</f>
        <v>0</v>
      </c>
      <c r="I44" s="22">
        <f t="shared" ref="I44:I54" si="11">E44/F44</f>
        <v>0</v>
      </c>
    </row>
    <row r="45" spans="1:9" x14ac:dyDescent="0.25">
      <c r="A45" s="13"/>
      <c r="B45" s="13" t="s">
        <v>2</v>
      </c>
      <c r="C45" s="14"/>
      <c r="D45" s="14">
        <v>40</v>
      </c>
      <c r="E45" s="14">
        <f t="shared" si="9"/>
        <v>0</v>
      </c>
      <c r="F45" s="14">
        <v>50</v>
      </c>
      <c r="G45"/>
      <c r="H45" s="22">
        <f t="shared" si="10"/>
        <v>0</v>
      </c>
      <c r="I45" s="22">
        <f t="shared" si="11"/>
        <v>0</v>
      </c>
    </row>
    <row r="46" spans="1:9" x14ac:dyDescent="0.25">
      <c r="A46" s="13"/>
      <c r="B46" s="13" t="s">
        <v>3</v>
      </c>
      <c r="C46" s="14"/>
      <c r="D46" s="14">
        <v>100</v>
      </c>
      <c r="E46" s="14">
        <f t="shared" si="9"/>
        <v>0</v>
      </c>
      <c r="F46" s="14">
        <v>130</v>
      </c>
      <c r="G46"/>
      <c r="H46" s="22">
        <f t="shared" si="10"/>
        <v>0</v>
      </c>
      <c r="I46" s="22">
        <f t="shared" si="11"/>
        <v>0</v>
      </c>
    </row>
    <row r="47" spans="1:9" x14ac:dyDescent="0.25">
      <c r="A47" s="13"/>
      <c r="B47" s="13" t="s">
        <v>4</v>
      </c>
      <c r="C47" s="14"/>
      <c r="D47" s="14">
        <v>40</v>
      </c>
      <c r="E47" s="14">
        <f t="shared" si="9"/>
        <v>0</v>
      </c>
      <c r="F47" s="14">
        <v>50</v>
      </c>
      <c r="G47"/>
      <c r="H47" s="22">
        <f t="shared" si="10"/>
        <v>0</v>
      </c>
      <c r="I47" s="22">
        <f t="shared" si="11"/>
        <v>0</v>
      </c>
    </row>
    <row r="48" spans="1:9" x14ac:dyDescent="0.25">
      <c r="A48" s="13"/>
      <c r="B48" s="13" t="s">
        <v>5</v>
      </c>
      <c r="C48" s="14"/>
      <c r="D48" s="14">
        <v>100</v>
      </c>
      <c r="E48" s="14">
        <f t="shared" si="9"/>
        <v>0</v>
      </c>
      <c r="F48" s="14">
        <v>130</v>
      </c>
      <c r="G48"/>
      <c r="H48" s="22">
        <f t="shared" si="10"/>
        <v>0</v>
      </c>
      <c r="I48" s="22">
        <f t="shared" si="11"/>
        <v>0</v>
      </c>
    </row>
    <row r="49" spans="1:9" x14ac:dyDescent="0.25">
      <c r="A49" s="13"/>
      <c r="B49" s="13" t="s">
        <v>6</v>
      </c>
      <c r="C49" s="14"/>
      <c r="D49" s="14">
        <v>40</v>
      </c>
      <c r="E49" s="14">
        <f t="shared" si="9"/>
        <v>0</v>
      </c>
      <c r="F49" s="14">
        <v>50</v>
      </c>
      <c r="G49"/>
      <c r="H49" s="22">
        <f t="shared" si="10"/>
        <v>0</v>
      </c>
      <c r="I49" s="22">
        <f t="shared" si="11"/>
        <v>0</v>
      </c>
    </row>
    <row r="50" spans="1:9" x14ac:dyDescent="0.25">
      <c r="A50" s="13"/>
      <c r="B50" s="13" t="s">
        <v>7</v>
      </c>
      <c r="C50" s="14">
        <v>9</v>
      </c>
      <c r="D50" s="14">
        <v>30</v>
      </c>
      <c r="E50" s="14">
        <v>13</v>
      </c>
      <c r="F50" s="14">
        <v>35</v>
      </c>
      <c r="G50"/>
      <c r="H50" s="22">
        <f t="shared" si="10"/>
        <v>0.3</v>
      </c>
      <c r="I50" s="22">
        <f t="shared" si="11"/>
        <v>0.37142857142857144</v>
      </c>
    </row>
    <row r="51" spans="1:9" x14ac:dyDescent="0.25">
      <c r="A51" s="13"/>
      <c r="B51" s="13" t="s">
        <v>9</v>
      </c>
      <c r="C51" s="14"/>
      <c r="D51" s="14">
        <v>30</v>
      </c>
      <c r="E51" s="14">
        <f t="shared" si="9"/>
        <v>0</v>
      </c>
      <c r="F51" s="14">
        <v>30</v>
      </c>
      <c r="G51"/>
      <c r="H51" s="22">
        <f t="shared" si="10"/>
        <v>0</v>
      </c>
      <c r="I51" s="22">
        <f t="shared" si="11"/>
        <v>0</v>
      </c>
    </row>
    <row r="52" spans="1:9" x14ac:dyDescent="0.25">
      <c r="A52" s="13"/>
      <c r="B52" s="13" t="s">
        <v>8</v>
      </c>
      <c r="C52" s="14"/>
      <c r="D52" s="14">
        <v>35</v>
      </c>
      <c r="E52" s="14">
        <f t="shared" si="9"/>
        <v>0</v>
      </c>
      <c r="F52" s="14">
        <v>35</v>
      </c>
      <c r="G52"/>
      <c r="H52" s="22">
        <f t="shared" si="10"/>
        <v>0</v>
      </c>
      <c r="I52" s="22">
        <f t="shared" si="11"/>
        <v>0</v>
      </c>
    </row>
    <row r="53" spans="1:9" x14ac:dyDescent="0.25">
      <c r="A53" s="13"/>
      <c r="B53" s="13" t="s">
        <v>10</v>
      </c>
      <c r="C53" s="14"/>
      <c r="D53" s="14">
        <v>40</v>
      </c>
      <c r="E53" s="14">
        <f t="shared" si="9"/>
        <v>0</v>
      </c>
      <c r="F53" s="14">
        <v>40</v>
      </c>
      <c r="G53"/>
      <c r="H53" s="22">
        <f t="shared" si="10"/>
        <v>0</v>
      </c>
      <c r="I53" s="22">
        <f t="shared" si="11"/>
        <v>0</v>
      </c>
    </row>
    <row r="54" spans="1:9" x14ac:dyDescent="0.25">
      <c r="A54" s="13"/>
      <c r="B54" s="13" t="s">
        <v>11</v>
      </c>
      <c r="C54" s="14"/>
      <c r="D54" s="14">
        <v>40</v>
      </c>
      <c r="E54" s="14">
        <f t="shared" si="9"/>
        <v>0</v>
      </c>
      <c r="F54" s="14">
        <v>40</v>
      </c>
      <c r="G54"/>
      <c r="H54" s="22">
        <f t="shared" si="10"/>
        <v>0</v>
      </c>
      <c r="I54" s="22">
        <f t="shared" si="11"/>
        <v>0</v>
      </c>
    </row>
    <row r="55" spans="1:9" x14ac:dyDescent="0.25">
      <c r="G55" s="14" t="s">
        <v>23</v>
      </c>
      <c r="H55" s="25">
        <f>SUM(H44:H54)</f>
        <v>0.3</v>
      </c>
      <c r="I55" s="25">
        <f>SUM(I44:I54)</f>
        <v>0.37142857142857144</v>
      </c>
    </row>
    <row r="56" spans="1:9" x14ac:dyDescent="0.25">
      <c r="G56"/>
      <c r="H56" s="1"/>
    </row>
    <row r="57" spans="1:9" x14ac:dyDescent="0.25">
      <c r="A57" s="19" t="s">
        <v>15</v>
      </c>
      <c r="B57" s="20" t="s">
        <v>16</v>
      </c>
      <c r="C57" s="20" t="s">
        <v>17</v>
      </c>
      <c r="D57" s="20" t="s">
        <v>18</v>
      </c>
      <c r="E57" s="20" t="s">
        <v>22</v>
      </c>
      <c r="F57" s="20" t="s">
        <v>19</v>
      </c>
      <c r="G57"/>
      <c r="H57" s="20" t="s">
        <v>20</v>
      </c>
      <c r="I57" s="20" t="s">
        <v>21</v>
      </c>
    </row>
    <row r="58" spans="1:9" x14ac:dyDescent="0.25">
      <c r="A58" s="17"/>
      <c r="B58" s="17" t="s">
        <v>1</v>
      </c>
      <c r="C58" s="18"/>
      <c r="D58" s="18">
        <v>1875</v>
      </c>
      <c r="E58" s="18">
        <f t="shared" ref="E58:E68" si="12">IF(C58 &lt;&gt; 0, C58+(F58-D58),0)</f>
        <v>0</v>
      </c>
      <c r="F58" s="18">
        <v>2425</v>
      </c>
      <c r="G58"/>
      <c r="H58" s="22">
        <f t="shared" ref="H58:H68" si="13">C58/D58</f>
        <v>0</v>
      </c>
      <c r="I58" s="22">
        <f t="shared" ref="I58:I68" si="14">E58/F58</f>
        <v>0</v>
      </c>
    </row>
    <row r="59" spans="1:9" x14ac:dyDescent="0.25">
      <c r="A59" s="17"/>
      <c r="B59" s="17" t="s">
        <v>2</v>
      </c>
      <c r="C59" s="18"/>
      <c r="D59" s="18">
        <v>40</v>
      </c>
      <c r="E59" s="18">
        <f t="shared" si="12"/>
        <v>0</v>
      </c>
      <c r="F59" s="18">
        <v>50</v>
      </c>
      <c r="G59"/>
      <c r="H59" s="22">
        <f t="shared" si="13"/>
        <v>0</v>
      </c>
      <c r="I59" s="22">
        <f t="shared" si="14"/>
        <v>0</v>
      </c>
    </row>
    <row r="60" spans="1:9" x14ac:dyDescent="0.25">
      <c r="A60" s="17"/>
      <c r="B60" s="17" t="s">
        <v>3</v>
      </c>
      <c r="C60" s="18"/>
      <c r="D60" s="18">
        <v>100</v>
      </c>
      <c r="E60" s="18">
        <f t="shared" si="12"/>
        <v>0</v>
      </c>
      <c r="F60" s="18">
        <v>130</v>
      </c>
      <c r="G60"/>
      <c r="H60" s="22">
        <f t="shared" si="13"/>
        <v>0</v>
      </c>
      <c r="I60" s="22">
        <f t="shared" si="14"/>
        <v>0</v>
      </c>
    </row>
    <row r="61" spans="1:9" x14ac:dyDescent="0.25">
      <c r="A61" s="17"/>
      <c r="B61" s="17" t="s">
        <v>4</v>
      </c>
      <c r="C61" s="18">
        <v>21</v>
      </c>
      <c r="D61" s="18">
        <v>40</v>
      </c>
      <c r="E61" s="18">
        <v>28</v>
      </c>
      <c r="F61" s="18">
        <v>50</v>
      </c>
      <c r="G61"/>
      <c r="H61" s="22">
        <f t="shared" si="13"/>
        <v>0.52500000000000002</v>
      </c>
      <c r="I61" s="22">
        <f t="shared" si="14"/>
        <v>0.56000000000000005</v>
      </c>
    </row>
    <row r="62" spans="1:9" x14ac:dyDescent="0.25">
      <c r="A62" s="17"/>
      <c r="B62" s="17" t="s">
        <v>5</v>
      </c>
      <c r="C62" s="18"/>
      <c r="D62" s="18">
        <v>100</v>
      </c>
      <c r="E62" s="18">
        <f t="shared" si="12"/>
        <v>0</v>
      </c>
      <c r="F62" s="18">
        <v>130</v>
      </c>
      <c r="G62"/>
      <c r="H62" s="22">
        <f t="shared" si="13"/>
        <v>0</v>
      </c>
      <c r="I62" s="22">
        <f t="shared" si="14"/>
        <v>0</v>
      </c>
    </row>
    <row r="63" spans="1:9" x14ac:dyDescent="0.25">
      <c r="A63" s="17"/>
      <c r="B63" s="17" t="s">
        <v>6</v>
      </c>
      <c r="C63" s="18"/>
      <c r="D63" s="18">
        <v>40</v>
      </c>
      <c r="E63" s="18">
        <f t="shared" si="12"/>
        <v>0</v>
      </c>
      <c r="F63" s="18">
        <v>50</v>
      </c>
      <c r="G63"/>
      <c r="H63" s="22">
        <f t="shared" si="13"/>
        <v>0</v>
      </c>
      <c r="I63" s="22">
        <f t="shared" si="14"/>
        <v>0</v>
      </c>
    </row>
    <row r="64" spans="1:9" x14ac:dyDescent="0.25">
      <c r="A64" s="17"/>
      <c r="B64" s="17" t="s">
        <v>7</v>
      </c>
      <c r="C64" s="18"/>
      <c r="D64" s="18">
        <v>30</v>
      </c>
      <c r="E64" s="18">
        <f t="shared" si="12"/>
        <v>0</v>
      </c>
      <c r="F64" s="18">
        <v>35</v>
      </c>
      <c r="G64"/>
      <c r="H64" s="22">
        <f t="shared" si="13"/>
        <v>0</v>
      </c>
      <c r="I64" s="22">
        <f t="shared" si="14"/>
        <v>0</v>
      </c>
    </row>
    <row r="65" spans="1:9" x14ac:dyDescent="0.25">
      <c r="A65" s="17"/>
      <c r="B65" s="17" t="s">
        <v>9</v>
      </c>
      <c r="C65" s="18"/>
      <c r="D65" s="18">
        <v>30</v>
      </c>
      <c r="E65" s="18">
        <f t="shared" si="12"/>
        <v>0</v>
      </c>
      <c r="F65" s="18">
        <v>30</v>
      </c>
      <c r="G65"/>
      <c r="H65" s="22">
        <f t="shared" si="13"/>
        <v>0</v>
      </c>
      <c r="I65" s="22">
        <f t="shared" si="14"/>
        <v>0</v>
      </c>
    </row>
    <row r="66" spans="1:9" x14ac:dyDescent="0.25">
      <c r="A66" s="17"/>
      <c r="B66" s="17" t="s">
        <v>8</v>
      </c>
      <c r="C66" s="18"/>
      <c r="D66" s="18">
        <v>35</v>
      </c>
      <c r="E66" s="18">
        <f t="shared" si="12"/>
        <v>0</v>
      </c>
      <c r="F66" s="18">
        <v>35</v>
      </c>
      <c r="G66"/>
      <c r="H66" s="22">
        <f t="shared" si="13"/>
        <v>0</v>
      </c>
      <c r="I66" s="22">
        <f t="shared" si="14"/>
        <v>0</v>
      </c>
    </row>
    <row r="67" spans="1:9" x14ac:dyDescent="0.25">
      <c r="A67" s="17"/>
      <c r="B67" s="17" t="s">
        <v>10</v>
      </c>
      <c r="C67" s="18"/>
      <c r="D67" s="18">
        <v>40</v>
      </c>
      <c r="E67" s="18">
        <f t="shared" si="12"/>
        <v>0</v>
      </c>
      <c r="F67" s="18">
        <v>40</v>
      </c>
      <c r="G67"/>
      <c r="H67" s="22">
        <f t="shared" si="13"/>
        <v>0</v>
      </c>
      <c r="I67" s="22">
        <f t="shared" si="14"/>
        <v>0</v>
      </c>
    </row>
    <row r="68" spans="1:9" x14ac:dyDescent="0.25">
      <c r="A68" s="17"/>
      <c r="B68" s="17" t="s">
        <v>11</v>
      </c>
      <c r="C68" s="18"/>
      <c r="D68" s="18">
        <v>40</v>
      </c>
      <c r="E68" s="18">
        <f t="shared" si="12"/>
        <v>0</v>
      </c>
      <c r="F68" s="18">
        <v>40</v>
      </c>
      <c r="G68"/>
      <c r="H68" s="22">
        <f t="shared" si="13"/>
        <v>0</v>
      </c>
      <c r="I68" s="22">
        <f t="shared" si="14"/>
        <v>0</v>
      </c>
    </row>
    <row r="69" spans="1:9" x14ac:dyDescent="0.25">
      <c r="G69" s="18" t="s">
        <v>23</v>
      </c>
      <c r="H69" s="26">
        <f>SUM(H58:H68)</f>
        <v>0.52500000000000002</v>
      </c>
      <c r="I69" s="26">
        <f>SUM(I58:I68)</f>
        <v>0.56000000000000005</v>
      </c>
    </row>
    <row r="70" spans="1:9" x14ac:dyDescent="0.25">
      <c r="B70" s="1"/>
      <c r="C70" s="1" t="s">
        <v>25</v>
      </c>
      <c r="D70" s="1" t="s">
        <v>26</v>
      </c>
    </row>
    <row r="71" spans="1:9" x14ac:dyDescent="0.25">
      <c r="B71" s="1" t="s">
        <v>24</v>
      </c>
      <c r="C71" s="22">
        <f>H13+H27+H41+H55+H69</f>
        <v>2.4392857142857145</v>
      </c>
      <c r="D71" s="22">
        <f>I13+I27+I41+I55+I69</f>
        <v>2.5457142857142858</v>
      </c>
    </row>
    <row r="72" spans="1:9" x14ac:dyDescent="0.25">
      <c r="B72" s="1" t="s">
        <v>28</v>
      </c>
      <c r="C72" s="1">
        <f>IF(H13&lt;&gt;0,3,2.8)</f>
        <v>3</v>
      </c>
    </row>
    <row r="73" spans="1:9" x14ac:dyDescent="0.25">
      <c r="B73" s="1" t="s">
        <v>27</v>
      </c>
      <c r="C73" s="27">
        <f>(C71/$C$72)*100</f>
        <v>81.309523809523824</v>
      </c>
      <c r="D73" s="27">
        <f>(D71/$C$72)*100</f>
        <v>84.857142857142861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Hoja1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Angel Ignacio Hernandez Parra</dc:creator>
  <cp:lastModifiedBy>Angel Ignacio Hernandez Parra</cp:lastModifiedBy>
  <dcterms:created xsi:type="dcterms:W3CDTF">2026-06-10T17:11:17Z</dcterms:created>
  <dcterms:modified xsi:type="dcterms:W3CDTF">2026-07-17T22:53:25Z</dcterms:modified>
</cp:coreProperties>
</file>