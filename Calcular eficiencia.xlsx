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rnandez\AndroidStudioProjects\SWRuneVault\"/>
    </mc:Choice>
  </mc:AlternateContent>
  <xr:revisionPtr revIDLastSave="0" documentId="13_ncr:1_{9A0B21B9-00AC-4188-BE01-10A918EB8DCB}" xr6:coauthVersionLast="47" xr6:coauthVersionMax="47" xr10:uidLastSave="{00000000-0000-0000-0000-000000000000}"/>
  <bookViews>
    <workbookView xWindow="-120" yWindow="-120" windowWidth="29040" windowHeight="15720" xr2:uid="{5F22712D-7A33-403F-BDB6-6DFCB32149B0}"/>
  </bookViews>
  <sheets>
    <sheet name="Calculo" sheetId="8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4" i="8" l="1"/>
  <c r="B45" i="8"/>
  <c r="B46" i="8"/>
  <c r="B47" i="8"/>
  <c r="B48" i="8"/>
  <c r="B49" i="8"/>
  <c r="B50" i="8"/>
  <c r="B51" i="8"/>
  <c r="B52" i="8"/>
  <c r="B53" i="8"/>
  <c r="B58" i="8"/>
  <c r="B59" i="8"/>
  <c r="B60" i="8"/>
  <c r="B61" i="8"/>
  <c r="B62" i="8"/>
  <c r="B63" i="8"/>
  <c r="B64" i="8"/>
  <c r="B65" i="8"/>
  <c r="B66" i="8"/>
  <c r="B67" i="8"/>
  <c r="B72" i="8"/>
  <c r="B73" i="8"/>
  <c r="B74" i="8"/>
  <c r="B75" i="8"/>
  <c r="B76" i="8"/>
  <c r="B77" i="8"/>
  <c r="B78" i="8"/>
  <c r="B79" i="8"/>
  <c r="B80" i="8"/>
  <c r="B81" i="8"/>
  <c r="B87" i="8"/>
  <c r="B88" i="8"/>
  <c r="B89" i="8"/>
  <c r="B90" i="8"/>
  <c r="B91" i="8"/>
  <c r="B92" i="8"/>
  <c r="B93" i="8"/>
  <c r="B94" i="8"/>
  <c r="B95" i="8"/>
  <c r="B96" i="8"/>
  <c r="B102" i="8"/>
  <c r="B103" i="8"/>
  <c r="B104" i="8"/>
  <c r="B105" i="8"/>
  <c r="B106" i="8"/>
  <c r="B107" i="8"/>
  <c r="B108" i="8"/>
  <c r="B109" i="8"/>
  <c r="B110" i="8"/>
  <c r="B111" i="8"/>
  <c r="B101" i="8"/>
  <c r="B86" i="8"/>
  <c r="B71" i="8"/>
  <c r="B57" i="8"/>
  <c r="B43" i="8"/>
  <c r="B30" i="8"/>
  <c r="B31" i="8"/>
  <c r="B32" i="8"/>
  <c r="B33" i="8"/>
  <c r="B34" i="8"/>
  <c r="B35" i="8"/>
  <c r="B36" i="8"/>
  <c r="B37" i="8"/>
  <c r="B38" i="8"/>
  <c r="B39" i="8"/>
  <c r="B29" i="8"/>
  <c r="E87" i="8"/>
  <c r="E88" i="8"/>
  <c r="E89" i="8"/>
  <c r="E90" i="8"/>
  <c r="E91" i="8"/>
  <c r="E92" i="8"/>
  <c r="E93" i="8"/>
  <c r="E94" i="8"/>
  <c r="E95" i="8"/>
  <c r="E96" i="8"/>
  <c r="E72" i="8"/>
  <c r="E73" i="8"/>
  <c r="E74" i="8"/>
  <c r="E75" i="8"/>
  <c r="E76" i="8"/>
  <c r="E77" i="8"/>
  <c r="E78" i="8"/>
  <c r="E79" i="8"/>
  <c r="E80" i="8"/>
  <c r="E81" i="8"/>
  <c r="E58" i="8"/>
  <c r="E59" i="8"/>
  <c r="E60" i="8"/>
  <c r="E61" i="8"/>
  <c r="E62" i="8"/>
  <c r="E63" i="8"/>
  <c r="E64" i="8"/>
  <c r="E65" i="8"/>
  <c r="E66" i="8"/>
  <c r="E67" i="8"/>
  <c r="E44" i="8"/>
  <c r="E45" i="8"/>
  <c r="E46" i="8"/>
  <c r="E47" i="8"/>
  <c r="E48" i="8"/>
  <c r="E49" i="8"/>
  <c r="E50" i="8"/>
  <c r="E51" i="8"/>
  <c r="E52" i="8"/>
  <c r="E53" i="8"/>
  <c r="E30" i="8"/>
  <c r="E31" i="8"/>
  <c r="E32" i="8"/>
  <c r="E33" i="8"/>
  <c r="E34" i="8"/>
  <c r="E35" i="8"/>
  <c r="E36" i="8"/>
  <c r="E37" i="8"/>
  <c r="E38" i="8"/>
  <c r="E39" i="8"/>
  <c r="E29" i="8"/>
  <c r="E43" i="8"/>
  <c r="E57" i="8"/>
  <c r="E71" i="8"/>
  <c r="E86" i="8"/>
  <c r="E102" i="8"/>
  <c r="E103" i="8"/>
  <c r="E104" i="8"/>
  <c r="E105" i="8"/>
  <c r="E106" i="8"/>
  <c r="E107" i="8"/>
  <c r="E108" i="8"/>
  <c r="E109" i="8"/>
  <c r="E110" i="8"/>
  <c r="E111" i="8"/>
  <c r="E101" i="8"/>
  <c r="G111" i="8" l="1"/>
  <c r="D111" i="8"/>
  <c r="H111" i="8" s="1"/>
  <c r="G110" i="8"/>
  <c r="D110" i="8"/>
  <c r="H110" i="8" s="1"/>
  <c r="G109" i="8"/>
  <c r="D109" i="8"/>
  <c r="H109" i="8" s="1"/>
  <c r="G108" i="8"/>
  <c r="D108" i="8"/>
  <c r="H108" i="8" s="1"/>
  <c r="G107" i="8"/>
  <c r="D107" i="8"/>
  <c r="H107" i="8" s="1"/>
  <c r="G106" i="8"/>
  <c r="D106" i="8"/>
  <c r="H106" i="8" s="1"/>
  <c r="G105" i="8"/>
  <c r="D105" i="8"/>
  <c r="H105" i="8" s="1"/>
  <c r="G104" i="8"/>
  <c r="D104" i="8"/>
  <c r="H104" i="8" s="1"/>
  <c r="G103" i="8"/>
  <c r="D103" i="8"/>
  <c r="H103" i="8" s="1"/>
  <c r="G102" i="8"/>
  <c r="D102" i="8"/>
  <c r="H102" i="8" s="1"/>
  <c r="G101" i="8"/>
  <c r="D101" i="8"/>
  <c r="H101" i="8" s="1"/>
  <c r="G96" i="8"/>
  <c r="D96" i="8"/>
  <c r="H96" i="8" s="1"/>
  <c r="G95" i="8"/>
  <c r="D95" i="8"/>
  <c r="H95" i="8" s="1"/>
  <c r="G94" i="8"/>
  <c r="D94" i="8"/>
  <c r="H94" i="8" s="1"/>
  <c r="G93" i="8"/>
  <c r="D93" i="8"/>
  <c r="H93" i="8" s="1"/>
  <c r="G92" i="8"/>
  <c r="D92" i="8"/>
  <c r="H92" i="8" s="1"/>
  <c r="G91" i="8"/>
  <c r="D91" i="8"/>
  <c r="H91" i="8" s="1"/>
  <c r="G90" i="8"/>
  <c r="D90" i="8"/>
  <c r="H90" i="8" s="1"/>
  <c r="G89" i="8"/>
  <c r="D89" i="8"/>
  <c r="H89" i="8" s="1"/>
  <c r="G88" i="8"/>
  <c r="D88" i="8"/>
  <c r="H88" i="8" s="1"/>
  <c r="G87" i="8"/>
  <c r="D87" i="8"/>
  <c r="H87" i="8" s="1"/>
  <c r="G86" i="8"/>
  <c r="D86" i="8"/>
  <c r="H86" i="8" s="1"/>
  <c r="G81" i="8"/>
  <c r="D81" i="8"/>
  <c r="H81" i="8" s="1"/>
  <c r="G80" i="8"/>
  <c r="D80" i="8"/>
  <c r="H80" i="8" s="1"/>
  <c r="G79" i="8"/>
  <c r="D79" i="8"/>
  <c r="H79" i="8" s="1"/>
  <c r="G78" i="8"/>
  <c r="D78" i="8"/>
  <c r="H78" i="8" s="1"/>
  <c r="G77" i="8"/>
  <c r="D77" i="8"/>
  <c r="H77" i="8" s="1"/>
  <c r="G76" i="8"/>
  <c r="D76" i="8"/>
  <c r="H76" i="8" s="1"/>
  <c r="G75" i="8"/>
  <c r="D75" i="8"/>
  <c r="H75" i="8" s="1"/>
  <c r="G74" i="8"/>
  <c r="D74" i="8"/>
  <c r="H74" i="8" s="1"/>
  <c r="G73" i="8"/>
  <c r="D73" i="8"/>
  <c r="H73" i="8" s="1"/>
  <c r="G72" i="8"/>
  <c r="D72" i="8"/>
  <c r="H72" i="8" s="1"/>
  <c r="G71" i="8"/>
  <c r="D71" i="8"/>
  <c r="H71" i="8" s="1"/>
  <c r="G67" i="8"/>
  <c r="D67" i="8"/>
  <c r="H67" i="8" s="1"/>
  <c r="G66" i="8"/>
  <c r="D66" i="8"/>
  <c r="H66" i="8" s="1"/>
  <c r="G65" i="8"/>
  <c r="D65" i="8"/>
  <c r="H65" i="8" s="1"/>
  <c r="G64" i="8"/>
  <c r="D64" i="8"/>
  <c r="H64" i="8" s="1"/>
  <c r="G63" i="8"/>
  <c r="D63" i="8"/>
  <c r="H63" i="8" s="1"/>
  <c r="G62" i="8"/>
  <c r="D62" i="8"/>
  <c r="H62" i="8" s="1"/>
  <c r="G61" i="8"/>
  <c r="D61" i="8"/>
  <c r="H61" i="8" s="1"/>
  <c r="G60" i="8"/>
  <c r="D60" i="8"/>
  <c r="H60" i="8" s="1"/>
  <c r="G59" i="8"/>
  <c r="D59" i="8"/>
  <c r="H59" i="8" s="1"/>
  <c r="G58" i="8"/>
  <c r="D58" i="8"/>
  <c r="H58" i="8" s="1"/>
  <c r="G57" i="8"/>
  <c r="D57" i="8"/>
  <c r="H57" i="8" s="1"/>
  <c r="G53" i="8"/>
  <c r="D53" i="8"/>
  <c r="H53" i="8" s="1"/>
  <c r="G52" i="8"/>
  <c r="D52" i="8"/>
  <c r="H52" i="8" s="1"/>
  <c r="G51" i="8"/>
  <c r="D51" i="8"/>
  <c r="H51" i="8" s="1"/>
  <c r="G50" i="8"/>
  <c r="D50" i="8"/>
  <c r="H50" i="8" s="1"/>
  <c r="G49" i="8"/>
  <c r="D49" i="8"/>
  <c r="H49" i="8" s="1"/>
  <c r="G48" i="8"/>
  <c r="D48" i="8"/>
  <c r="H48" i="8" s="1"/>
  <c r="G47" i="8"/>
  <c r="D47" i="8"/>
  <c r="H47" i="8" s="1"/>
  <c r="G46" i="8"/>
  <c r="D46" i="8"/>
  <c r="H46" i="8" s="1"/>
  <c r="G45" i="8"/>
  <c r="D45" i="8"/>
  <c r="H45" i="8" s="1"/>
  <c r="G44" i="8"/>
  <c r="D44" i="8"/>
  <c r="H44" i="8" s="1"/>
  <c r="G43" i="8"/>
  <c r="D43" i="8"/>
  <c r="H43" i="8" s="1"/>
  <c r="G39" i="8"/>
  <c r="D39" i="8"/>
  <c r="H39" i="8" s="1"/>
  <c r="G38" i="8"/>
  <c r="D38" i="8"/>
  <c r="H38" i="8" s="1"/>
  <c r="G37" i="8"/>
  <c r="D37" i="8"/>
  <c r="H37" i="8" s="1"/>
  <c r="G36" i="8"/>
  <c r="D36" i="8"/>
  <c r="H36" i="8" s="1"/>
  <c r="G35" i="8"/>
  <c r="D35" i="8"/>
  <c r="H35" i="8" s="1"/>
  <c r="G34" i="8"/>
  <c r="D34" i="8"/>
  <c r="H34" i="8" s="1"/>
  <c r="G33" i="8"/>
  <c r="D33" i="8"/>
  <c r="H33" i="8" s="1"/>
  <c r="G32" i="8"/>
  <c r="D32" i="8"/>
  <c r="H32" i="8" s="1"/>
  <c r="G31" i="8"/>
  <c r="D31" i="8"/>
  <c r="H31" i="8" s="1"/>
  <c r="G30" i="8"/>
  <c r="D30" i="8"/>
  <c r="H30" i="8" s="1"/>
  <c r="G29" i="8"/>
  <c r="D29" i="8"/>
  <c r="H29" i="8" s="1"/>
  <c r="G25" i="8"/>
  <c r="D25" i="8"/>
  <c r="H25" i="8" s="1"/>
  <c r="G24" i="8"/>
  <c r="D24" i="8"/>
  <c r="H24" i="8" s="1"/>
  <c r="G23" i="8"/>
  <c r="D23" i="8"/>
  <c r="H23" i="8" s="1"/>
  <c r="G22" i="8"/>
  <c r="D22" i="8"/>
  <c r="H22" i="8" s="1"/>
  <c r="G21" i="8"/>
  <c r="D21" i="8"/>
  <c r="H21" i="8" s="1"/>
  <c r="G20" i="8"/>
  <c r="D20" i="8"/>
  <c r="H20" i="8" s="1"/>
  <c r="G19" i="8"/>
  <c r="D19" i="8"/>
  <c r="H19" i="8" s="1"/>
  <c r="G18" i="8"/>
  <c r="D18" i="8"/>
  <c r="H18" i="8" s="1"/>
  <c r="G17" i="8"/>
  <c r="D17" i="8"/>
  <c r="H17" i="8" s="1"/>
  <c r="G16" i="8"/>
  <c r="D16" i="8"/>
  <c r="H16" i="8" s="1"/>
  <c r="G15" i="8"/>
  <c r="D15" i="8"/>
  <c r="H15" i="8" s="1"/>
  <c r="G112" i="8" l="1"/>
  <c r="S10" i="8" s="1"/>
  <c r="G26" i="8"/>
  <c r="O4" i="8" s="1"/>
  <c r="G68" i="8"/>
  <c r="K10" i="8" s="1"/>
  <c r="G82" i="8"/>
  <c r="G54" i="8"/>
  <c r="S3" i="8" s="1"/>
  <c r="G40" i="8"/>
  <c r="O3" i="8" s="1"/>
  <c r="H26" i="8"/>
  <c r="L3" i="8" s="1"/>
  <c r="G97" i="8"/>
  <c r="O10" i="8" s="1"/>
  <c r="H82" i="8"/>
  <c r="H112" i="8"/>
  <c r="T10" i="8" s="1"/>
  <c r="H68" i="8"/>
  <c r="L10" i="8" s="1"/>
  <c r="H40" i="8"/>
  <c r="P3" i="8" s="1"/>
  <c r="H97" i="8"/>
  <c r="P10" i="8" s="1"/>
  <c r="H54" i="8"/>
  <c r="T3" i="8" s="1"/>
  <c r="P5" i="8" l="1"/>
  <c r="K4" i="8"/>
  <c r="S11" i="8"/>
  <c r="S12" i="8" s="1"/>
  <c r="K11" i="8"/>
  <c r="O5" i="8"/>
  <c r="S4" i="8"/>
  <c r="S5" i="8" s="1"/>
  <c r="O11" i="8"/>
  <c r="O12" i="8"/>
  <c r="K3" i="8"/>
  <c r="K12" i="8"/>
  <c r="L5" i="8"/>
  <c r="K5" i="8"/>
</calcChain>
</file>

<file path=xl/sharedStrings.xml><?xml version="1.0" encoding="utf-8"?>
<sst xmlns="http://schemas.openxmlformats.org/spreadsheetml/2006/main" count="189" uniqueCount="37">
  <si>
    <t>HP</t>
  </si>
  <si>
    <t>HP %</t>
  </si>
  <si>
    <t>ATK</t>
  </si>
  <si>
    <t>ATK %</t>
  </si>
  <si>
    <t xml:space="preserve">DEF </t>
  </si>
  <si>
    <t>DEF %</t>
  </si>
  <si>
    <t>VEL</t>
  </si>
  <si>
    <t>DAÑO CRITICO</t>
  </si>
  <si>
    <t>TASA CRITICA</t>
  </si>
  <si>
    <t>PRESICION</t>
  </si>
  <si>
    <t>RESISTENCIA</t>
  </si>
  <si>
    <t>Estadistica</t>
  </si>
  <si>
    <t>Valor actual</t>
  </si>
  <si>
    <t>Valor Maximo</t>
  </si>
  <si>
    <t>Valor Maximo + piedra</t>
  </si>
  <si>
    <t>Aporte actual</t>
  </si>
  <si>
    <t>Aporte + piedra</t>
  </si>
  <si>
    <t>Valor actual + Piedra</t>
  </si>
  <si>
    <t>Aporte</t>
  </si>
  <si>
    <t>Aporte Total</t>
  </si>
  <si>
    <t>Actual</t>
  </si>
  <si>
    <t>Actual + piedra</t>
  </si>
  <si>
    <t>Eficiencia</t>
  </si>
  <si>
    <t>Maximo teorico</t>
  </si>
  <si>
    <t>BASE</t>
  </si>
  <si>
    <t>Piedra</t>
  </si>
  <si>
    <t>1 estrella</t>
  </si>
  <si>
    <t>2 estrellas</t>
  </si>
  <si>
    <t>3 estrellas</t>
  </si>
  <si>
    <t>4 estrellas</t>
  </si>
  <si>
    <t>5 estrellas</t>
  </si>
  <si>
    <t>6 estrellas</t>
  </si>
  <si>
    <t>2 estrella</t>
  </si>
  <si>
    <t>3 estrella</t>
  </si>
  <si>
    <t>4 estrella</t>
  </si>
  <si>
    <t>5 estrella</t>
  </si>
  <si>
    <t>6 estrella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</si>
</sst>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8EA0EA"/>
        <bgColor indexed="64"/>
      </patternFill>
    </fill>
    <fill>
      <patternFill patternType="solid">
        <fgColor rgb="FFA0BDF6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F78D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12" borderId="0" xfId="0" applyFill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4" fontId="0" fillId="13" borderId="0" xfId="0" applyNumberForma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/>
    <xf numFmtId="0" fontId="0" fillId="15" borderId="0" xfId="0" applyFill="1" applyAlignment="1">
      <alignment horizontal="center" vertical="center"/>
    </xf>
    <xf numFmtId="164" fontId="0" fillId="15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74200-E308-411F-9845-FF0C8E9CC773}">
  <dimension ref="A1:T124"/>
  <sheetViews>
    <sheetView tabSelected="1" workbookViewId="0">
      <selection activeCell="B43" sqref="B43:B53"/>
    </sheetView>
  </sheetViews>
  <sheetFormatPr baseColWidth="10" defaultRowHeight="15" x14ac:dyDescent="0.25"/>
  <cols>
    <col min="1" max="1" width="13.85546875" bestFit="1" customWidth="1"/>
    <col min="2" max="2" width="14.85546875" bestFit="1" customWidth="1"/>
    <col min="3" max="3" width="13.42578125" bestFit="1" customWidth="1"/>
    <col min="4" max="4" width="19.140625" bestFit="1" customWidth="1"/>
    <col min="5" max="5" width="21.28515625" bestFit="1" customWidth="1"/>
    <col min="6" max="6" width="7.140625" bestFit="1" customWidth="1"/>
    <col min="7" max="7" width="12.85546875" bestFit="1" customWidth="1"/>
    <col min="8" max="8" width="14.7109375" bestFit="1" customWidth="1"/>
    <col min="10" max="10" width="14.85546875" bestFit="1" customWidth="1"/>
    <col min="11" max="11" width="6.5703125" bestFit="1" customWidth="1"/>
    <col min="12" max="12" width="14.140625" bestFit="1" customWidth="1"/>
    <col min="14" max="14" width="14.85546875" bestFit="1" customWidth="1"/>
    <col min="15" max="15" width="6.5703125" bestFit="1" customWidth="1"/>
    <col min="16" max="16" width="14.140625" bestFit="1" customWidth="1"/>
    <col min="18" max="18" width="14.85546875" bestFit="1" customWidth="1"/>
    <col min="19" max="19" width="6.5703125" bestFit="1" customWidth="1"/>
    <col min="20" max="20" width="14.140625" bestFit="1" customWidth="1"/>
  </cols>
  <sheetData>
    <row r="1" spans="1:20" x14ac:dyDescent="0.25">
      <c r="A1" s="7" t="s">
        <v>11</v>
      </c>
      <c r="B1" s="25" t="s">
        <v>24</v>
      </c>
      <c r="C1" s="7" t="s">
        <v>25</v>
      </c>
      <c r="D1" s="1"/>
      <c r="H1" s="1"/>
      <c r="J1" s="37" t="s">
        <v>26</v>
      </c>
      <c r="K1" s="37"/>
      <c r="L1" s="37"/>
      <c r="M1" s="36"/>
      <c r="N1" s="38" t="s">
        <v>32</v>
      </c>
      <c r="O1" s="38"/>
      <c r="P1" s="38"/>
      <c r="R1" s="39" t="s">
        <v>33</v>
      </c>
      <c r="S1" s="39"/>
      <c r="T1" s="39"/>
    </row>
    <row r="2" spans="1:20" x14ac:dyDescent="0.25">
      <c r="A2" s="5" t="s">
        <v>0</v>
      </c>
      <c r="B2" s="26"/>
      <c r="C2" s="6">
        <v>550</v>
      </c>
      <c r="D2" s="1"/>
      <c r="H2" s="1"/>
      <c r="J2" s="1"/>
      <c r="K2" s="1" t="s">
        <v>20</v>
      </c>
      <c r="L2" s="1" t="s">
        <v>21</v>
      </c>
      <c r="N2" s="1"/>
      <c r="O2" s="1" t="s">
        <v>20</v>
      </c>
      <c r="P2" s="1" t="s">
        <v>21</v>
      </c>
      <c r="R2" s="1"/>
      <c r="S2" s="1" t="s">
        <v>20</v>
      </c>
      <c r="T2" s="1" t="s">
        <v>21</v>
      </c>
    </row>
    <row r="3" spans="1:20" x14ac:dyDescent="0.25">
      <c r="A3" s="5" t="s">
        <v>1</v>
      </c>
      <c r="B3" s="26"/>
      <c r="C3" s="6">
        <v>10</v>
      </c>
      <c r="D3" s="1"/>
      <c r="H3" s="1"/>
      <c r="J3" s="1" t="s">
        <v>19</v>
      </c>
      <c r="K3" s="18">
        <f>G26</f>
        <v>0</v>
      </c>
      <c r="L3" s="18">
        <f>H26</f>
        <v>0</v>
      </c>
      <c r="N3" s="1" t="s">
        <v>19</v>
      </c>
      <c r="O3" s="18">
        <f>G40</f>
        <v>0</v>
      </c>
      <c r="P3" s="18">
        <f>H40</f>
        <v>0</v>
      </c>
      <c r="R3" s="1" t="s">
        <v>19</v>
      </c>
      <c r="S3" s="18">
        <f>G54</f>
        <v>0</v>
      </c>
      <c r="T3" s="18">
        <f>H54</f>
        <v>0</v>
      </c>
    </row>
    <row r="4" spans="1:20" x14ac:dyDescent="0.25">
      <c r="A4" s="5" t="s">
        <v>2</v>
      </c>
      <c r="B4" s="26"/>
      <c r="C4" s="6">
        <v>30</v>
      </c>
      <c r="D4" s="1"/>
      <c r="H4" s="1"/>
      <c r="J4" s="1" t="s">
        <v>23</v>
      </c>
      <c r="K4" s="1">
        <f>IF($G$26&lt;&gt;0,3,2.8)</f>
        <v>2.8</v>
      </c>
      <c r="L4" s="1"/>
      <c r="N4" s="1" t="s">
        <v>23</v>
      </c>
      <c r="O4" s="1">
        <f>IF($G$26&lt;&gt;0,3,2.8)</f>
        <v>2.8</v>
      </c>
      <c r="P4" s="1"/>
      <c r="R4" s="1" t="s">
        <v>23</v>
      </c>
      <c r="S4" s="1">
        <f>IF($G$26&lt;&gt;0,3,2.8)</f>
        <v>2.8</v>
      </c>
      <c r="T4" s="1"/>
    </row>
    <row r="5" spans="1:20" x14ac:dyDescent="0.25">
      <c r="A5" s="5" t="s">
        <v>3</v>
      </c>
      <c r="B5" s="26"/>
      <c r="C5" s="6">
        <v>10</v>
      </c>
      <c r="D5" s="1"/>
      <c r="E5" s="1"/>
      <c r="F5" s="1"/>
      <c r="G5" s="1"/>
      <c r="H5" s="1"/>
      <c r="J5" s="1" t="s">
        <v>22</v>
      </c>
      <c r="K5" s="23">
        <f>(K3/$K$4)*100</f>
        <v>0</v>
      </c>
      <c r="L5" s="23">
        <f>(L3/$K$4)*100</f>
        <v>0</v>
      </c>
      <c r="N5" s="1" t="s">
        <v>22</v>
      </c>
      <c r="O5" s="23">
        <f>(O3/$O$4)*100</f>
        <v>0</v>
      </c>
      <c r="P5" s="23">
        <f>(P3/$O$4)*100</f>
        <v>0</v>
      </c>
      <c r="R5" s="1" t="s">
        <v>22</v>
      </c>
      <c r="S5" s="23">
        <f>(S3/$S$4)*100</f>
        <v>0</v>
      </c>
      <c r="T5" s="23"/>
    </row>
    <row r="6" spans="1:20" x14ac:dyDescent="0.25">
      <c r="A6" s="5" t="s">
        <v>4</v>
      </c>
      <c r="B6" s="26"/>
      <c r="C6" s="6">
        <v>30</v>
      </c>
      <c r="D6" s="1"/>
      <c r="E6" s="1"/>
      <c r="F6" s="1"/>
      <c r="G6" s="1"/>
      <c r="H6" s="1"/>
    </row>
    <row r="7" spans="1:20" x14ac:dyDescent="0.25">
      <c r="A7" s="5" t="s">
        <v>5</v>
      </c>
      <c r="B7" s="26"/>
      <c r="C7" s="6">
        <v>10</v>
      </c>
      <c r="D7" s="1"/>
      <c r="E7" s="1"/>
      <c r="F7" s="1"/>
      <c r="G7" s="1"/>
      <c r="H7" s="1"/>
    </row>
    <row r="8" spans="1:20" x14ac:dyDescent="0.25">
      <c r="A8" s="5" t="s">
        <v>6</v>
      </c>
      <c r="B8" s="26"/>
      <c r="C8" s="6">
        <v>5</v>
      </c>
      <c r="D8" s="1"/>
      <c r="E8" s="1"/>
      <c r="F8" s="1"/>
      <c r="G8" s="1"/>
      <c r="H8" s="1"/>
      <c r="J8" s="40" t="s">
        <v>34</v>
      </c>
      <c r="K8" s="40"/>
      <c r="L8" s="40"/>
      <c r="M8" s="36"/>
      <c r="N8" s="41" t="s">
        <v>35</v>
      </c>
      <c r="O8" s="41"/>
      <c r="P8" s="41"/>
      <c r="R8" s="42" t="s">
        <v>36</v>
      </c>
      <c r="S8" s="42"/>
      <c r="T8" s="42"/>
    </row>
    <row r="9" spans="1:20" x14ac:dyDescent="0.25">
      <c r="A9" s="5" t="s">
        <v>8</v>
      </c>
      <c r="B9" s="26"/>
      <c r="C9" s="6">
        <v>0</v>
      </c>
      <c r="D9" s="1"/>
      <c r="E9" s="1"/>
      <c r="F9" s="1"/>
      <c r="G9" s="1"/>
      <c r="H9" s="1"/>
      <c r="J9" s="1"/>
      <c r="K9" s="1" t="s">
        <v>20</v>
      </c>
      <c r="L9" s="1" t="s">
        <v>21</v>
      </c>
      <c r="N9" s="1"/>
      <c r="O9" s="1" t="s">
        <v>20</v>
      </c>
      <c r="P9" s="1" t="s">
        <v>21</v>
      </c>
      <c r="R9" s="1"/>
      <c r="S9" s="1" t="s">
        <v>20</v>
      </c>
      <c r="T9" s="1" t="s">
        <v>21</v>
      </c>
    </row>
    <row r="10" spans="1:20" x14ac:dyDescent="0.25">
      <c r="A10" s="5" t="s">
        <v>7</v>
      </c>
      <c r="B10" s="26"/>
      <c r="C10" s="6">
        <v>0</v>
      </c>
      <c r="D10" s="1"/>
      <c r="E10" s="1"/>
      <c r="F10" s="1"/>
      <c r="G10" s="1"/>
      <c r="H10" s="1"/>
      <c r="J10" s="1" t="s">
        <v>19</v>
      </c>
      <c r="K10" s="18">
        <f>G68</f>
        <v>0</v>
      </c>
      <c r="L10" s="18">
        <f>H68</f>
        <v>0</v>
      </c>
      <c r="N10" s="1" t="s">
        <v>19</v>
      </c>
      <c r="O10" s="18">
        <f>G97</f>
        <v>0</v>
      </c>
      <c r="P10" s="18">
        <f>H97</f>
        <v>0</v>
      </c>
      <c r="R10" s="1" t="s">
        <v>19</v>
      </c>
      <c r="S10" s="18">
        <f>G112</f>
        <v>0</v>
      </c>
      <c r="T10" s="18">
        <f>H112</f>
        <v>0</v>
      </c>
    </row>
    <row r="11" spans="1:20" x14ac:dyDescent="0.25">
      <c r="A11" s="5" t="s">
        <v>9</v>
      </c>
      <c r="B11" s="26"/>
      <c r="C11" s="6">
        <v>0</v>
      </c>
      <c r="D11" s="1"/>
      <c r="E11" s="1"/>
      <c r="F11" s="1"/>
      <c r="G11" s="1"/>
      <c r="H11" s="1"/>
      <c r="J11" s="1" t="s">
        <v>23</v>
      </c>
      <c r="K11" s="1">
        <f>IF($G$26&lt;&gt;0,3,2.8)</f>
        <v>2.8</v>
      </c>
      <c r="L11" s="1"/>
      <c r="N11" s="1" t="s">
        <v>23</v>
      </c>
      <c r="O11" s="1">
        <f>IF($G$26&lt;&gt;0,3,2.8)</f>
        <v>2.8</v>
      </c>
      <c r="P11" s="1"/>
      <c r="R11" s="1" t="s">
        <v>23</v>
      </c>
      <c r="S11" s="1">
        <f>IF($G$26&lt;&gt;0,3,2.8)</f>
        <v>2.8</v>
      </c>
      <c r="T11" s="1"/>
    </row>
    <row r="12" spans="1:20" x14ac:dyDescent="0.25">
      <c r="A12" s="5" t="s">
        <v>10</v>
      </c>
      <c r="B12" s="26"/>
      <c r="C12" s="6">
        <v>0</v>
      </c>
      <c r="D12" s="1"/>
      <c r="E12" s="1"/>
      <c r="F12" s="1"/>
      <c r="G12" s="1"/>
      <c r="H12" s="1"/>
      <c r="J12" s="1" t="s">
        <v>22</v>
      </c>
      <c r="K12" s="23">
        <f>(K10/$K$11)*100</f>
        <v>0</v>
      </c>
      <c r="L12" s="23"/>
      <c r="N12" s="1" t="s">
        <v>22</v>
      </c>
      <c r="O12" s="23">
        <f>(O10/$O$11)*100</f>
        <v>0</v>
      </c>
      <c r="P12" s="23"/>
      <c r="R12" s="1" t="s">
        <v>22</v>
      </c>
      <c r="S12" s="23">
        <f>(S10/$S$11)*100</f>
        <v>0</v>
      </c>
      <c r="T12" s="23"/>
    </row>
    <row r="13" spans="1:20" x14ac:dyDescent="0.25">
      <c r="A13" s="24"/>
      <c r="B13" s="1"/>
      <c r="D13" s="1"/>
      <c r="E13" s="1"/>
      <c r="F13" s="1"/>
      <c r="G13" s="1"/>
      <c r="H13" s="1"/>
    </row>
    <row r="14" spans="1:20" x14ac:dyDescent="0.25">
      <c r="A14" s="4" t="s">
        <v>11</v>
      </c>
      <c r="B14" s="4" t="s">
        <v>12</v>
      </c>
      <c r="C14" s="4" t="s">
        <v>13</v>
      </c>
      <c r="D14" s="4" t="s">
        <v>17</v>
      </c>
      <c r="E14" s="4" t="s">
        <v>14</v>
      </c>
      <c r="F14" s="1"/>
      <c r="G14" s="4" t="s">
        <v>15</v>
      </c>
      <c r="H14" s="4" t="s">
        <v>16</v>
      </c>
    </row>
    <row r="15" spans="1:20" x14ac:dyDescent="0.25">
      <c r="A15" s="3" t="s">
        <v>0</v>
      </c>
      <c r="B15" s="2"/>
      <c r="C15" s="2">
        <v>355</v>
      </c>
      <c r="D15" s="2">
        <f t="shared" ref="D15:D25" si="0">IF(B15 &lt;&gt; 0, B15+(E15-C15),0)</f>
        <v>0</v>
      </c>
      <c r="E15" s="2">
        <v>355</v>
      </c>
      <c r="F15" s="1"/>
      <c r="G15" s="18">
        <f t="shared" ref="G15:G25" si="1">B15/C15</f>
        <v>0</v>
      </c>
      <c r="H15" s="18">
        <f t="shared" ref="H15:H25" si="2">D15/E15</f>
        <v>0</v>
      </c>
    </row>
    <row r="16" spans="1:20" x14ac:dyDescent="0.25">
      <c r="A16" s="3" t="s">
        <v>1</v>
      </c>
      <c r="B16" s="2"/>
      <c r="C16" s="2">
        <v>8</v>
      </c>
      <c r="D16" s="2">
        <f t="shared" si="0"/>
        <v>0</v>
      </c>
      <c r="E16" s="2">
        <v>8</v>
      </c>
      <c r="F16" s="1"/>
      <c r="G16" s="18">
        <f t="shared" si="1"/>
        <v>0</v>
      </c>
      <c r="H16" s="18">
        <f t="shared" si="2"/>
        <v>0</v>
      </c>
    </row>
    <row r="17" spans="1:8" x14ac:dyDescent="0.25">
      <c r="A17" s="3" t="s">
        <v>2</v>
      </c>
      <c r="B17" s="2"/>
      <c r="C17" s="2">
        <v>17</v>
      </c>
      <c r="D17" s="2">
        <f t="shared" si="0"/>
        <v>0</v>
      </c>
      <c r="E17" s="2">
        <v>17</v>
      </c>
      <c r="F17" s="1"/>
      <c r="G17" s="18">
        <f t="shared" si="1"/>
        <v>0</v>
      </c>
      <c r="H17" s="18">
        <f t="shared" si="2"/>
        <v>0</v>
      </c>
    </row>
    <row r="18" spans="1:8" x14ac:dyDescent="0.25">
      <c r="A18" s="3" t="s">
        <v>3</v>
      </c>
      <c r="B18" s="2"/>
      <c r="C18" s="2">
        <v>8</v>
      </c>
      <c r="D18" s="2">
        <f t="shared" si="0"/>
        <v>0</v>
      </c>
      <c r="E18" s="2">
        <v>8</v>
      </c>
      <c r="F18" s="1"/>
      <c r="G18" s="18">
        <f t="shared" si="1"/>
        <v>0</v>
      </c>
      <c r="H18" s="18">
        <f t="shared" si="2"/>
        <v>0</v>
      </c>
    </row>
    <row r="19" spans="1:8" x14ac:dyDescent="0.25">
      <c r="A19" s="3" t="s">
        <v>4</v>
      </c>
      <c r="B19" s="2"/>
      <c r="C19" s="2">
        <v>17</v>
      </c>
      <c r="D19" s="2">
        <f t="shared" si="0"/>
        <v>0</v>
      </c>
      <c r="E19" s="2">
        <v>17</v>
      </c>
      <c r="F19" s="1"/>
      <c r="G19" s="18">
        <f t="shared" si="1"/>
        <v>0</v>
      </c>
      <c r="H19" s="18">
        <f t="shared" si="2"/>
        <v>0</v>
      </c>
    </row>
    <row r="20" spans="1:8" x14ac:dyDescent="0.25">
      <c r="A20" s="3" t="s">
        <v>5</v>
      </c>
      <c r="B20" s="2"/>
      <c r="C20" s="2">
        <v>8</v>
      </c>
      <c r="D20" s="2">
        <f t="shared" si="0"/>
        <v>0</v>
      </c>
      <c r="E20" s="2">
        <v>8</v>
      </c>
      <c r="F20" s="1"/>
      <c r="G20" s="18">
        <f t="shared" si="1"/>
        <v>0</v>
      </c>
      <c r="H20" s="18">
        <f t="shared" si="2"/>
        <v>0</v>
      </c>
    </row>
    <row r="21" spans="1:8" x14ac:dyDescent="0.25">
      <c r="A21" s="3" t="s">
        <v>6</v>
      </c>
      <c r="B21" s="2"/>
      <c r="C21" s="2">
        <v>6</v>
      </c>
      <c r="D21" s="2">
        <f t="shared" si="0"/>
        <v>0</v>
      </c>
      <c r="E21" s="2">
        <v>6</v>
      </c>
      <c r="F21" s="1"/>
      <c r="G21" s="18">
        <f t="shared" si="1"/>
        <v>0</v>
      </c>
      <c r="H21" s="18">
        <f t="shared" si="2"/>
        <v>0</v>
      </c>
    </row>
    <row r="22" spans="1:8" x14ac:dyDescent="0.25">
      <c r="A22" s="3" t="s">
        <v>8</v>
      </c>
      <c r="B22" s="2"/>
      <c r="C22" s="2">
        <v>6</v>
      </c>
      <c r="D22" s="2">
        <f t="shared" si="0"/>
        <v>0</v>
      </c>
      <c r="E22" s="2">
        <v>6</v>
      </c>
      <c r="F22" s="1"/>
      <c r="G22" s="18">
        <f t="shared" si="1"/>
        <v>0</v>
      </c>
      <c r="H22" s="18">
        <f t="shared" si="2"/>
        <v>0</v>
      </c>
    </row>
    <row r="23" spans="1:8" x14ac:dyDescent="0.25">
      <c r="A23" s="3" t="s">
        <v>7</v>
      </c>
      <c r="B23" s="2"/>
      <c r="C23" s="2">
        <v>7</v>
      </c>
      <c r="D23" s="2">
        <f t="shared" si="0"/>
        <v>0</v>
      </c>
      <c r="E23" s="2">
        <v>7</v>
      </c>
      <c r="F23" s="1"/>
      <c r="G23" s="18">
        <f t="shared" si="1"/>
        <v>0</v>
      </c>
      <c r="H23" s="18">
        <f t="shared" si="2"/>
        <v>0</v>
      </c>
    </row>
    <row r="24" spans="1:8" x14ac:dyDescent="0.25">
      <c r="A24" s="3" t="s">
        <v>9</v>
      </c>
      <c r="B24" s="2"/>
      <c r="C24" s="2">
        <v>8</v>
      </c>
      <c r="D24" s="2">
        <f t="shared" si="0"/>
        <v>0</v>
      </c>
      <c r="E24" s="2">
        <v>8</v>
      </c>
      <c r="F24" s="1"/>
      <c r="G24" s="18">
        <f t="shared" si="1"/>
        <v>0</v>
      </c>
      <c r="H24" s="18">
        <f t="shared" si="2"/>
        <v>0</v>
      </c>
    </row>
    <row r="25" spans="1:8" x14ac:dyDescent="0.25">
      <c r="A25" s="3" t="s">
        <v>10</v>
      </c>
      <c r="B25" s="2"/>
      <c r="C25" s="2">
        <v>8</v>
      </c>
      <c r="D25" s="2">
        <f t="shared" si="0"/>
        <v>0</v>
      </c>
      <c r="E25" s="2">
        <v>8</v>
      </c>
      <c r="F25" s="1"/>
      <c r="G25" s="18">
        <f t="shared" si="1"/>
        <v>0</v>
      </c>
      <c r="H25" s="18">
        <f t="shared" si="2"/>
        <v>0</v>
      </c>
    </row>
    <row r="26" spans="1:8" x14ac:dyDescent="0.25">
      <c r="B26" s="1"/>
      <c r="C26" s="1"/>
      <c r="D26" s="1"/>
      <c r="E26" s="1"/>
      <c r="F26" s="2" t="s">
        <v>18</v>
      </c>
      <c r="G26" s="17">
        <f>SUM(G15:G25)</f>
        <v>0</v>
      </c>
      <c r="H26" s="17">
        <f>SUM(H15:H25)</f>
        <v>0</v>
      </c>
    </row>
    <row r="27" spans="1:8" x14ac:dyDescent="0.25">
      <c r="A27" s="35" t="s">
        <v>26</v>
      </c>
      <c r="B27" s="35"/>
      <c r="C27" s="35"/>
      <c r="D27" s="35"/>
      <c r="E27" s="35"/>
      <c r="F27" s="1"/>
      <c r="G27" s="1"/>
      <c r="H27" s="1"/>
    </row>
    <row r="28" spans="1:8" x14ac:dyDescent="0.25">
      <c r="A28" s="7" t="s">
        <v>11</v>
      </c>
      <c r="B28" s="7" t="s">
        <v>12</v>
      </c>
      <c r="C28" s="7" t="s">
        <v>13</v>
      </c>
      <c r="D28" s="7" t="s">
        <v>17</v>
      </c>
      <c r="E28" s="7" t="s">
        <v>14</v>
      </c>
      <c r="F28" s="1"/>
      <c r="G28" s="7" t="s">
        <v>15</v>
      </c>
      <c r="H28" s="7" t="s">
        <v>16</v>
      </c>
    </row>
    <row r="29" spans="1:8" x14ac:dyDescent="0.25">
      <c r="A29" s="5" t="s">
        <v>0</v>
      </c>
      <c r="B29" s="6">
        <f>B2</f>
        <v>0</v>
      </c>
      <c r="C29" s="6">
        <v>300</v>
      </c>
      <c r="D29" s="6">
        <f t="shared" ref="D29:D39" si="3">IF(B29 &lt;&gt; 0, B29+(E29-C29),0)</f>
        <v>0</v>
      </c>
      <c r="E29" s="6">
        <f>C29+C2</f>
        <v>850</v>
      </c>
      <c r="F29" s="1"/>
      <c r="G29" s="18">
        <f t="shared" ref="G29:G39" si="4">B29/C29</f>
        <v>0</v>
      </c>
      <c r="H29" s="18">
        <f t="shared" ref="H29:H39" si="5">D29/E29</f>
        <v>0</v>
      </c>
    </row>
    <row r="30" spans="1:8" x14ac:dyDescent="0.25">
      <c r="A30" s="5" t="s">
        <v>1</v>
      </c>
      <c r="B30" s="6">
        <f t="shared" ref="B30:B39" si="6">B3</f>
        <v>0</v>
      </c>
      <c r="C30" s="6">
        <v>10</v>
      </c>
      <c r="D30" s="6">
        <f t="shared" si="3"/>
        <v>0</v>
      </c>
      <c r="E30" s="6">
        <f t="shared" ref="E30:E39" si="7">C30+C3</f>
        <v>20</v>
      </c>
      <c r="F30" s="1"/>
      <c r="G30" s="18">
        <f t="shared" si="4"/>
        <v>0</v>
      </c>
      <c r="H30" s="18">
        <f t="shared" si="5"/>
        <v>0</v>
      </c>
    </row>
    <row r="31" spans="1:8" x14ac:dyDescent="0.25">
      <c r="A31" s="5" t="s">
        <v>2</v>
      </c>
      <c r="B31" s="6">
        <f t="shared" si="6"/>
        <v>0</v>
      </c>
      <c r="C31" s="6">
        <v>20</v>
      </c>
      <c r="D31" s="6">
        <f t="shared" si="3"/>
        <v>0</v>
      </c>
      <c r="E31" s="6">
        <f t="shared" si="7"/>
        <v>50</v>
      </c>
      <c r="F31" s="1"/>
      <c r="G31" s="18">
        <f t="shared" si="4"/>
        <v>0</v>
      </c>
      <c r="H31" s="18">
        <f t="shared" si="5"/>
        <v>0</v>
      </c>
    </row>
    <row r="32" spans="1:8" x14ac:dyDescent="0.25">
      <c r="A32" s="5" t="s">
        <v>3</v>
      </c>
      <c r="B32" s="6">
        <f t="shared" si="6"/>
        <v>0</v>
      </c>
      <c r="C32" s="6">
        <v>10</v>
      </c>
      <c r="D32" s="6">
        <f t="shared" si="3"/>
        <v>0</v>
      </c>
      <c r="E32" s="6">
        <f t="shared" si="7"/>
        <v>20</v>
      </c>
      <c r="F32" s="1"/>
      <c r="G32" s="18">
        <f t="shared" si="4"/>
        <v>0</v>
      </c>
      <c r="H32" s="18">
        <f t="shared" si="5"/>
        <v>0</v>
      </c>
    </row>
    <row r="33" spans="1:8" x14ac:dyDescent="0.25">
      <c r="A33" s="5" t="s">
        <v>4</v>
      </c>
      <c r="B33" s="6">
        <f t="shared" si="6"/>
        <v>0</v>
      </c>
      <c r="C33" s="6">
        <v>20</v>
      </c>
      <c r="D33" s="6">
        <f t="shared" si="3"/>
        <v>0</v>
      </c>
      <c r="E33" s="6">
        <f t="shared" si="7"/>
        <v>50</v>
      </c>
      <c r="F33" s="1"/>
      <c r="G33" s="18">
        <f t="shared" si="4"/>
        <v>0</v>
      </c>
      <c r="H33" s="18">
        <f t="shared" si="5"/>
        <v>0</v>
      </c>
    </row>
    <row r="34" spans="1:8" x14ac:dyDescent="0.25">
      <c r="A34" s="5" t="s">
        <v>5</v>
      </c>
      <c r="B34" s="6">
        <f t="shared" si="6"/>
        <v>0</v>
      </c>
      <c r="C34" s="6">
        <v>10</v>
      </c>
      <c r="D34" s="6">
        <f t="shared" si="3"/>
        <v>0</v>
      </c>
      <c r="E34" s="6">
        <f t="shared" si="7"/>
        <v>20</v>
      </c>
      <c r="F34" s="1"/>
      <c r="G34" s="18">
        <f t="shared" si="4"/>
        <v>0</v>
      </c>
      <c r="H34" s="18">
        <f t="shared" si="5"/>
        <v>0</v>
      </c>
    </row>
    <row r="35" spans="1:8" x14ac:dyDescent="0.25">
      <c r="A35" s="5" t="s">
        <v>6</v>
      </c>
      <c r="B35" s="6">
        <f t="shared" si="6"/>
        <v>0</v>
      </c>
      <c r="C35" s="6">
        <v>5</v>
      </c>
      <c r="D35" s="6">
        <f t="shared" si="3"/>
        <v>0</v>
      </c>
      <c r="E35" s="6">
        <f t="shared" si="7"/>
        <v>10</v>
      </c>
      <c r="F35" s="1"/>
      <c r="G35" s="18">
        <f t="shared" si="4"/>
        <v>0</v>
      </c>
      <c r="H35" s="18">
        <f t="shared" si="5"/>
        <v>0</v>
      </c>
    </row>
    <row r="36" spans="1:8" x14ac:dyDescent="0.25">
      <c r="A36" s="5" t="s">
        <v>8</v>
      </c>
      <c r="B36" s="6">
        <f t="shared" si="6"/>
        <v>0</v>
      </c>
      <c r="C36" s="6">
        <v>5</v>
      </c>
      <c r="D36" s="6">
        <f t="shared" si="3"/>
        <v>0</v>
      </c>
      <c r="E36" s="6">
        <f t="shared" si="7"/>
        <v>5</v>
      </c>
      <c r="F36" s="1"/>
      <c r="G36" s="18">
        <f t="shared" si="4"/>
        <v>0</v>
      </c>
      <c r="H36" s="18">
        <f t="shared" si="5"/>
        <v>0</v>
      </c>
    </row>
    <row r="37" spans="1:8" x14ac:dyDescent="0.25">
      <c r="A37" s="5" t="s">
        <v>7</v>
      </c>
      <c r="B37" s="6">
        <f t="shared" si="6"/>
        <v>0</v>
      </c>
      <c r="C37" s="6">
        <v>10</v>
      </c>
      <c r="D37" s="6">
        <f t="shared" si="3"/>
        <v>0</v>
      </c>
      <c r="E37" s="6">
        <f t="shared" si="7"/>
        <v>10</v>
      </c>
      <c r="F37" s="1"/>
      <c r="G37" s="18">
        <f t="shared" si="4"/>
        <v>0</v>
      </c>
      <c r="H37" s="18">
        <f t="shared" si="5"/>
        <v>0</v>
      </c>
    </row>
    <row r="38" spans="1:8" x14ac:dyDescent="0.25">
      <c r="A38" s="5" t="s">
        <v>9</v>
      </c>
      <c r="B38" s="6">
        <f t="shared" si="6"/>
        <v>0</v>
      </c>
      <c r="C38" s="6">
        <v>10</v>
      </c>
      <c r="D38" s="6">
        <f t="shared" si="3"/>
        <v>0</v>
      </c>
      <c r="E38" s="6">
        <f t="shared" si="7"/>
        <v>10</v>
      </c>
      <c r="F38" s="1"/>
      <c r="G38" s="18">
        <f t="shared" si="4"/>
        <v>0</v>
      </c>
      <c r="H38" s="18">
        <f t="shared" si="5"/>
        <v>0</v>
      </c>
    </row>
    <row r="39" spans="1:8" x14ac:dyDescent="0.25">
      <c r="A39" s="5" t="s">
        <v>10</v>
      </c>
      <c r="B39" s="6">
        <f t="shared" si="6"/>
        <v>0</v>
      </c>
      <c r="C39" s="6">
        <v>10</v>
      </c>
      <c r="D39" s="6">
        <f t="shared" si="3"/>
        <v>0</v>
      </c>
      <c r="E39" s="6">
        <f t="shared" si="7"/>
        <v>10</v>
      </c>
      <c r="F39" s="1"/>
      <c r="G39" s="18">
        <f t="shared" si="4"/>
        <v>0</v>
      </c>
      <c r="H39" s="18">
        <f t="shared" si="5"/>
        <v>0</v>
      </c>
    </row>
    <row r="40" spans="1:8" x14ac:dyDescent="0.25">
      <c r="B40" s="1"/>
      <c r="C40" s="1"/>
      <c r="D40" s="1"/>
      <c r="E40" s="1"/>
      <c r="F40" s="6" t="s">
        <v>18</v>
      </c>
      <c r="G40" s="19">
        <f>SUM(G29:G39)</f>
        <v>0</v>
      </c>
      <c r="H40" s="19">
        <f>SUM(H29:H39)</f>
        <v>0</v>
      </c>
    </row>
    <row r="41" spans="1:8" x14ac:dyDescent="0.25">
      <c r="A41" s="35" t="s">
        <v>27</v>
      </c>
      <c r="B41" s="35"/>
      <c r="C41" s="35"/>
      <c r="D41" s="35"/>
      <c r="E41" s="35"/>
      <c r="F41" s="1"/>
      <c r="G41" s="1"/>
      <c r="H41" s="1"/>
    </row>
    <row r="42" spans="1:8" x14ac:dyDescent="0.25">
      <c r="A42" s="10" t="s">
        <v>11</v>
      </c>
      <c r="B42" s="10" t="s">
        <v>12</v>
      </c>
      <c r="C42" s="10" t="s">
        <v>13</v>
      </c>
      <c r="D42" s="10" t="s">
        <v>17</v>
      </c>
      <c r="E42" s="10" t="s">
        <v>14</v>
      </c>
      <c r="F42" s="1"/>
      <c r="G42" s="10" t="s">
        <v>15</v>
      </c>
      <c r="H42" s="10" t="s">
        <v>16</v>
      </c>
    </row>
    <row r="43" spans="1:8" x14ac:dyDescent="0.25">
      <c r="A43" s="8" t="s">
        <v>0</v>
      </c>
      <c r="B43" s="9">
        <f>B2</f>
        <v>0</v>
      </c>
      <c r="C43" s="9">
        <v>525</v>
      </c>
      <c r="D43" s="9">
        <f t="shared" ref="D43:D53" si="8">IF(B43 &lt;&gt; 0, B43+(E43-C43),0)</f>
        <v>0</v>
      </c>
      <c r="E43" s="9">
        <f>C43+C2</f>
        <v>1075</v>
      </c>
      <c r="F43" s="1"/>
      <c r="G43" s="18">
        <f t="shared" ref="G43:G53" si="9">B43/C43</f>
        <v>0</v>
      </c>
      <c r="H43" s="18">
        <f t="shared" ref="H43:H53" si="10">D43/E43</f>
        <v>0</v>
      </c>
    </row>
    <row r="44" spans="1:8" x14ac:dyDescent="0.25">
      <c r="A44" s="8" t="s">
        <v>1</v>
      </c>
      <c r="B44" s="9">
        <f t="shared" ref="B44:B53" si="11">B3</f>
        <v>0</v>
      </c>
      <c r="C44" s="9">
        <v>15</v>
      </c>
      <c r="D44" s="9">
        <f t="shared" si="8"/>
        <v>0</v>
      </c>
      <c r="E44" s="9">
        <f t="shared" ref="E44:E53" si="12">C44+C3</f>
        <v>25</v>
      </c>
      <c r="F44" s="1"/>
      <c r="G44" s="18">
        <f t="shared" si="9"/>
        <v>0</v>
      </c>
      <c r="H44" s="18">
        <f t="shared" si="10"/>
        <v>0</v>
      </c>
    </row>
    <row r="45" spans="1:8" x14ac:dyDescent="0.25">
      <c r="A45" s="8" t="s">
        <v>2</v>
      </c>
      <c r="B45" s="9">
        <f t="shared" si="11"/>
        <v>0</v>
      </c>
      <c r="C45" s="9">
        <v>25</v>
      </c>
      <c r="D45" s="9">
        <f t="shared" si="8"/>
        <v>0</v>
      </c>
      <c r="E45" s="9">
        <f t="shared" si="12"/>
        <v>55</v>
      </c>
      <c r="F45" s="1"/>
      <c r="G45" s="18">
        <f t="shared" si="9"/>
        <v>0</v>
      </c>
      <c r="H45" s="18">
        <f t="shared" si="10"/>
        <v>0</v>
      </c>
    </row>
    <row r="46" spans="1:8" x14ac:dyDescent="0.25">
      <c r="A46" s="8" t="s">
        <v>3</v>
      </c>
      <c r="B46" s="9">
        <f t="shared" si="11"/>
        <v>0</v>
      </c>
      <c r="C46" s="9">
        <v>15</v>
      </c>
      <c r="D46" s="9">
        <f t="shared" si="8"/>
        <v>0</v>
      </c>
      <c r="E46" s="9">
        <f t="shared" si="12"/>
        <v>25</v>
      </c>
      <c r="F46" s="1"/>
      <c r="G46" s="18">
        <f t="shared" si="9"/>
        <v>0</v>
      </c>
      <c r="H46" s="18">
        <f t="shared" si="10"/>
        <v>0</v>
      </c>
    </row>
    <row r="47" spans="1:8" x14ac:dyDescent="0.25">
      <c r="A47" s="8" t="s">
        <v>4</v>
      </c>
      <c r="B47" s="9">
        <f t="shared" si="11"/>
        <v>0</v>
      </c>
      <c r="C47" s="9">
        <v>25</v>
      </c>
      <c r="D47" s="9">
        <f t="shared" si="8"/>
        <v>0</v>
      </c>
      <c r="E47" s="9">
        <f t="shared" si="12"/>
        <v>55</v>
      </c>
      <c r="F47" s="1"/>
      <c r="G47" s="18">
        <f t="shared" si="9"/>
        <v>0</v>
      </c>
      <c r="H47" s="18">
        <f t="shared" si="10"/>
        <v>0</v>
      </c>
    </row>
    <row r="48" spans="1:8" x14ac:dyDescent="0.25">
      <c r="A48" s="8" t="s">
        <v>5</v>
      </c>
      <c r="B48" s="9">
        <f t="shared" si="11"/>
        <v>0</v>
      </c>
      <c r="C48" s="9">
        <v>15</v>
      </c>
      <c r="D48" s="9">
        <f t="shared" si="8"/>
        <v>0</v>
      </c>
      <c r="E48" s="9">
        <f t="shared" si="12"/>
        <v>25</v>
      </c>
      <c r="F48" s="1"/>
      <c r="G48" s="18">
        <f t="shared" si="9"/>
        <v>0</v>
      </c>
      <c r="H48" s="18">
        <f t="shared" si="10"/>
        <v>0</v>
      </c>
    </row>
    <row r="49" spans="1:8" x14ac:dyDescent="0.25">
      <c r="A49" s="8" t="s">
        <v>6</v>
      </c>
      <c r="B49" s="9">
        <f t="shared" si="11"/>
        <v>0</v>
      </c>
      <c r="C49" s="9">
        <v>10</v>
      </c>
      <c r="D49" s="9">
        <f t="shared" si="8"/>
        <v>0</v>
      </c>
      <c r="E49" s="9">
        <f t="shared" si="12"/>
        <v>15</v>
      </c>
      <c r="F49" s="1"/>
      <c r="G49" s="18">
        <f t="shared" si="9"/>
        <v>0</v>
      </c>
      <c r="H49" s="18">
        <f t="shared" si="10"/>
        <v>0</v>
      </c>
    </row>
    <row r="50" spans="1:8" x14ac:dyDescent="0.25">
      <c r="A50" s="8" t="s">
        <v>8</v>
      </c>
      <c r="B50" s="9">
        <f t="shared" si="11"/>
        <v>0</v>
      </c>
      <c r="C50" s="9">
        <v>10</v>
      </c>
      <c r="D50" s="9">
        <f t="shared" si="8"/>
        <v>0</v>
      </c>
      <c r="E50" s="9">
        <f t="shared" si="12"/>
        <v>10</v>
      </c>
      <c r="F50" s="1"/>
      <c r="G50" s="18">
        <f t="shared" si="9"/>
        <v>0</v>
      </c>
      <c r="H50" s="18">
        <f t="shared" si="10"/>
        <v>0</v>
      </c>
    </row>
    <row r="51" spans="1:8" x14ac:dyDescent="0.25">
      <c r="A51" s="8" t="s">
        <v>7</v>
      </c>
      <c r="B51" s="9">
        <f t="shared" si="11"/>
        <v>0</v>
      </c>
      <c r="C51" s="9">
        <v>15</v>
      </c>
      <c r="D51" s="9">
        <f t="shared" si="8"/>
        <v>0</v>
      </c>
      <c r="E51" s="9">
        <f t="shared" si="12"/>
        <v>15</v>
      </c>
      <c r="F51" s="1"/>
      <c r="G51" s="18">
        <f t="shared" si="9"/>
        <v>0</v>
      </c>
      <c r="H51" s="18">
        <f t="shared" si="10"/>
        <v>0</v>
      </c>
    </row>
    <row r="52" spans="1:8" x14ac:dyDescent="0.25">
      <c r="A52" s="8" t="s">
        <v>9</v>
      </c>
      <c r="B52" s="9">
        <f t="shared" si="11"/>
        <v>0</v>
      </c>
      <c r="C52" s="9">
        <v>15</v>
      </c>
      <c r="D52" s="9">
        <f t="shared" si="8"/>
        <v>0</v>
      </c>
      <c r="E52" s="9">
        <f t="shared" si="12"/>
        <v>15</v>
      </c>
      <c r="F52" s="1"/>
      <c r="G52" s="18">
        <f t="shared" si="9"/>
        <v>0</v>
      </c>
      <c r="H52" s="18">
        <f t="shared" si="10"/>
        <v>0</v>
      </c>
    </row>
    <row r="53" spans="1:8" x14ac:dyDescent="0.25">
      <c r="A53" s="8" t="s">
        <v>10</v>
      </c>
      <c r="B53" s="9">
        <f t="shared" si="11"/>
        <v>0</v>
      </c>
      <c r="C53" s="9">
        <v>15</v>
      </c>
      <c r="D53" s="9">
        <f t="shared" si="8"/>
        <v>0</v>
      </c>
      <c r="E53" s="9">
        <f t="shared" si="12"/>
        <v>15</v>
      </c>
      <c r="F53" s="1"/>
      <c r="G53" s="18">
        <f t="shared" si="9"/>
        <v>0</v>
      </c>
      <c r="H53" s="18">
        <f t="shared" si="10"/>
        <v>0</v>
      </c>
    </row>
    <row r="54" spans="1:8" x14ac:dyDescent="0.25">
      <c r="B54" s="1"/>
      <c r="C54" s="1"/>
      <c r="D54" s="1"/>
      <c r="E54" s="1"/>
      <c r="F54" s="9" t="s">
        <v>18</v>
      </c>
      <c r="G54" s="20">
        <f>SUM(G43:G53)</f>
        <v>0</v>
      </c>
      <c r="H54" s="20">
        <f>SUM(H43:H53)</f>
        <v>0</v>
      </c>
    </row>
    <row r="55" spans="1:8" x14ac:dyDescent="0.25">
      <c r="A55" s="35" t="s">
        <v>28</v>
      </c>
      <c r="B55" s="35"/>
      <c r="C55" s="35"/>
      <c r="D55" s="35"/>
      <c r="E55" s="35"/>
      <c r="F55" s="1"/>
      <c r="G55" s="1"/>
      <c r="H55" s="1"/>
    </row>
    <row r="56" spans="1:8" x14ac:dyDescent="0.25">
      <c r="A56" s="13" t="s">
        <v>11</v>
      </c>
      <c r="B56" s="13" t="s">
        <v>12</v>
      </c>
      <c r="C56" s="13" t="s">
        <v>13</v>
      </c>
      <c r="D56" s="13" t="s">
        <v>17</v>
      </c>
      <c r="E56" s="13" t="s">
        <v>14</v>
      </c>
      <c r="F56" s="1"/>
      <c r="G56" s="13" t="s">
        <v>15</v>
      </c>
      <c r="H56" s="13" t="s">
        <v>16</v>
      </c>
    </row>
    <row r="57" spans="1:8" x14ac:dyDescent="0.25">
      <c r="A57" s="11" t="s">
        <v>0</v>
      </c>
      <c r="B57" s="12">
        <f>B2</f>
        <v>0</v>
      </c>
      <c r="C57" s="12">
        <v>825</v>
      </c>
      <c r="D57" s="12">
        <f t="shared" ref="D57:D67" si="13">IF(B57 &lt;&gt; 0, B57+(E57-C57),0)</f>
        <v>0</v>
      </c>
      <c r="E57" s="12">
        <f>C57+C2</f>
        <v>1375</v>
      </c>
      <c r="F57" s="1"/>
      <c r="G57" s="18">
        <f t="shared" ref="G57:G67" si="14">B57/C57</f>
        <v>0</v>
      </c>
      <c r="H57" s="18">
        <f t="shared" ref="H57:H67" si="15">D57/E57</f>
        <v>0</v>
      </c>
    </row>
    <row r="58" spans="1:8" x14ac:dyDescent="0.25">
      <c r="A58" s="11" t="s">
        <v>1</v>
      </c>
      <c r="B58" s="12">
        <f t="shared" ref="B58:B67" si="16">B3</f>
        <v>0</v>
      </c>
      <c r="C58" s="12">
        <v>25</v>
      </c>
      <c r="D58" s="12">
        <f t="shared" si="13"/>
        <v>0</v>
      </c>
      <c r="E58" s="12">
        <f t="shared" ref="E58:E67" si="17">C58+C3</f>
        <v>35</v>
      </c>
      <c r="F58" s="1"/>
      <c r="G58" s="18">
        <f t="shared" si="14"/>
        <v>0</v>
      </c>
      <c r="H58" s="18">
        <f t="shared" si="15"/>
        <v>0</v>
      </c>
    </row>
    <row r="59" spans="1:8" x14ac:dyDescent="0.25">
      <c r="A59" s="11" t="s">
        <v>2</v>
      </c>
      <c r="B59" s="12">
        <f t="shared" si="16"/>
        <v>0</v>
      </c>
      <c r="C59" s="12">
        <v>40</v>
      </c>
      <c r="D59" s="12">
        <f t="shared" si="13"/>
        <v>0</v>
      </c>
      <c r="E59" s="12">
        <f t="shared" si="17"/>
        <v>70</v>
      </c>
      <c r="F59" s="1"/>
      <c r="G59" s="18">
        <f t="shared" si="14"/>
        <v>0</v>
      </c>
      <c r="H59" s="18">
        <f t="shared" si="15"/>
        <v>0</v>
      </c>
    </row>
    <row r="60" spans="1:8" x14ac:dyDescent="0.25">
      <c r="A60" s="11" t="s">
        <v>3</v>
      </c>
      <c r="B60" s="12">
        <f t="shared" si="16"/>
        <v>0</v>
      </c>
      <c r="C60" s="12">
        <v>25</v>
      </c>
      <c r="D60" s="12">
        <f t="shared" si="13"/>
        <v>0</v>
      </c>
      <c r="E60" s="12">
        <f t="shared" si="17"/>
        <v>35</v>
      </c>
      <c r="F60" s="1"/>
      <c r="G60" s="18">
        <f t="shared" si="14"/>
        <v>0</v>
      </c>
      <c r="H60" s="18">
        <f t="shared" si="15"/>
        <v>0</v>
      </c>
    </row>
    <row r="61" spans="1:8" x14ac:dyDescent="0.25">
      <c r="A61" s="11" t="s">
        <v>4</v>
      </c>
      <c r="B61" s="12">
        <f t="shared" si="16"/>
        <v>0</v>
      </c>
      <c r="C61" s="12">
        <v>40</v>
      </c>
      <c r="D61" s="12">
        <f t="shared" si="13"/>
        <v>0</v>
      </c>
      <c r="E61" s="12">
        <f t="shared" si="17"/>
        <v>70</v>
      </c>
      <c r="F61" s="1"/>
      <c r="G61" s="18">
        <f t="shared" si="14"/>
        <v>0</v>
      </c>
      <c r="H61" s="18">
        <f t="shared" si="15"/>
        <v>0</v>
      </c>
    </row>
    <row r="62" spans="1:8" x14ac:dyDescent="0.25">
      <c r="A62" s="11" t="s">
        <v>5</v>
      </c>
      <c r="B62" s="12">
        <f t="shared" si="16"/>
        <v>0</v>
      </c>
      <c r="C62" s="12">
        <v>25</v>
      </c>
      <c r="D62" s="12">
        <f t="shared" si="13"/>
        <v>0</v>
      </c>
      <c r="E62" s="12">
        <f t="shared" si="17"/>
        <v>35</v>
      </c>
      <c r="F62" s="1"/>
      <c r="G62" s="18">
        <f t="shared" si="14"/>
        <v>0</v>
      </c>
      <c r="H62" s="18">
        <f t="shared" si="15"/>
        <v>0</v>
      </c>
    </row>
    <row r="63" spans="1:8" x14ac:dyDescent="0.25">
      <c r="A63" s="11" t="s">
        <v>6</v>
      </c>
      <c r="B63" s="12">
        <f t="shared" si="16"/>
        <v>0</v>
      </c>
      <c r="C63" s="12">
        <v>15</v>
      </c>
      <c r="D63" s="12">
        <f t="shared" si="13"/>
        <v>0</v>
      </c>
      <c r="E63" s="12">
        <f t="shared" si="17"/>
        <v>20</v>
      </c>
      <c r="F63" s="1"/>
      <c r="G63" s="18">
        <f t="shared" si="14"/>
        <v>0</v>
      </c>
      <c r="H63" s="18">
        <f t="shared" si="15"/>
        <v>0</v>
      </c>
    </row>
    <row r="64" spans="1:8" x14ac:dyDescent="0.25">
      <c r="A64" s="11" t="s">
        <v>8</v>
      </c>
      <c r="B64" s="12">
        <f t="shared" si="16"/>
        <v>0</v>
      </c>
      <c r="C64" s="12">
        <v>15</v>
      </c>
      <c r="D64" s="12">
        <f t="shared" si="13"/>
        <v>0</v>
      </c>
      <c r="E64" s="12">
        <f t="shared" si="17"/>
        <v>15</v>
      </c>
      <c r="F64" s="1"/>
      <c r="G64" s="18">
        <f t="shared" si="14"/>
        <v>0</v>
      </c>
      <c r="H64" s="18">
        <f t="shared" si="15"/>
        <v>0</v>
      </c>
    </row>
    <row r="65" spans="1:8" x14ac:dyDescent="0.25">
      <c r="A65" s="11" t="s">
        <v>7</v>
      </c>
      <c r="B65" s="12">
        <f t="shared" si="16"/>
        <v>0</v>
      </c>
      <c r="C65" s="12">
        <v>20</v>
      </c>
      <c r="D65" s="12">
        <f t="shared" si="13"/>
        <v>0</v>
      </c>
      <c r="E65" s="12">
        <f t="shared" si="17"/>
        <v>20</v>
      </c>
      <c r="F65" s="1"/>
      <c r="G65" s="18">
        <f t="shared" si="14"/>
        <v>0</v>
      </c>
      <c r="H65" s="18">
        <f t="shared" si="15"/>
        <v>0</v>
      </c>
    </row>
    <row r="66" spans="1:8" x14ac:dyDescent="0.25">
      <c r="A66" s="11" t="s">
        <v>9</v>
      </c>
      <c r="B66" s="12">
        <f t="shared" si="16"/>
        <v>0</v>
      </c>
      <c r="C66" s="12">
        <v>20</v>
      </c>
      <c r="D66" s="12">
        <f t="shared" si="13"/>
        <v>0</v>
      </c>
      <c r="E66" s="12">
        <f t="shared" si="17"/>
        <v>20</v>
      </c>
      <c r="F66" s="1"/>
      <c r="G66" s="18">
        <f t="shared" si="14"/>
        <v>0</v>
      </c>
      <c r="H66" s="18">
        <f t="shared" si="15"/>
        <v>0</v>
      </c>
    </row>
    <row r="67" spans="1:8" x14ac:dyDescent="0.25">
      <c r="A67" s="11" t="s">
        <v>10</v>
      </c>
      <c r="B67" s="12">
        <f t="shared" si="16"/>
        <v>0</v>
      </c>
      <c r="C67" s="12">
        <v>20</v>
      </c>
      <c r="D67" s="12">
        <f t="shared" si="13"/>
        <v>0</v>
      </c>
      <c r="E67" s="12">
        <f t="shared" si="17"/>
        <v>20</v>
      </c>
      <c r="F67" s="1"/>
      <c r="G67" s="18">
        <f t="shared" si="14"/>
        <v>0</v>
      </c>
      <c r="H67" s="18">
        <f t="shared" si="15"/>
        <v>0</v>
      </c>
    </row>
    <row r="68" spans="1:8" x14ac:dyDescent="0.25">
      <c r="B68" s="1"/>
      <c r="C68" s="1"/>
      <c r="D68" s="1"/>
      <c r="E68" s="1"/>
      <c r="F68" s="12" t="s">
        <v>18</v>
      </c>
      <c r="G68" s="21">
        <f>SUM(G57:G67)</f>
        <v>0</v>
      </c>
      <c r="H68" s="21">
        <f>SUM(H57:H67)</f>
        <v>0</v>
      </c>
    </row>
    <row r="69" spans="1:8" x14ac:dyDescent="0.25">
      <c r="A69" s="35" t="s">
        <v>29</v>
      </c>
      <c r="B69" s="35"/>
      <c r="C69" s="35"/>
      <c r="D69" s="35"/>
      <c r="E69" s="35"/>
      <c r="F69" s="1"/>
      <c r="G69" s="1"/>
      <c r="H69" s="1"/>
    </row>
    <row r="70" spans="1:8" x14ac:dyDescent="0.25">
      <c r="A70" s="16" t="s">
        <v>11</v>
      </c>
      <c r="B70" s="16" t="s">
        <v>12</v>
      </c>
      <c r="C70" s="16" t="s">
        <v>13</v>
      </c>
      <c r="D70" s="16" t="s">
        <v>17</v>
      </c>
      <c r="E70" s="16" t="s">
        <v>14</v>
      </c>
      <c r="F70" s="1"/>
      <c r="G70" s="16" t="s">
        <v>15</v>
      </c>
      <c r="H70" s="16" t="s">
        <v>16</v>
      </c>
    </row>
    <row r="71" spans="1:8" x14ac:dyDescent="0.25">
      <c r="A71" s="14" t="s">
        <v>0</v>
      </c>
      <c r="B71" s="15">
        <f>B2</f>
        <v>0</v>
      </c>
      <c r="C71" s="15">
        <v>1125</v>
      </c>
      <c r="D71" s="15">
        <f t="shared" ref="D71:D81" si="18">IF(B71 &lt;&gt; 0, B71+(E71-C71),0)</f>
        <v>0</v>
      </c>
      <c r="E71" s="15">
        <f>C71+C2</f>
        <v>1675</v>
      </c>
      <c r="F71" s="1"/>
      <c r="G71" s="18">
        <f t="shared" ref="G71:G81" si="19">B71/C71</f>
        <v>0</v>
      </c>
      <c r="H71" s="18">
        <f t="shared" ref="H71:H81" si="20">D71/E71</f>
        <v>0</v>
      </c>
    </row>
    <row r="72" spans="1:8" x14ac:dyDescent="0.25">
      <c r="A72" s="14" t="s">
        <v>1</v>
      </c>
      <c r="B72" s="15">
        <f t="shared" ref="B72:B81" si="21">B3</f>
        <v>0</v>
      </c>
      <c r="C72" s="15">
        <v>30</v>
      </c>
      <c r="D72" s="15">
        <f t="shared" si="18"/>
        <v>0</v>
      </c>
      <c r="E72" s="15">
        <f t="shared" ref="E72:E81" si="22">C72+C3</f>
        <v>40</v>
      </c>
      <c r="F72" s="1"/>
      <c r="G72" s="18">
        <f t="shared" si="19"/>
        <v>0</v>
      </c>
      <c r="H72" s="18">
        <f t="shared" si="20"/>
        <v>0</v>
      </c>
    </row>
    <row r="73" spans="1:8" x14ac:dyDescent="0.25">
      <c r="A73" s="14" t="s">
        <v>2</v>
      </c>
      <c r="B73" s="15">
        <f t="shared" si="21"/>
        <v>0</v>
      </c>
      <c r="C73" s="15">
        <v>50</v>
      </c>
      <c r="D73" s="15">
        <f t="shared" si="18"/>
        <v>0</v>
      </c>
      <c r="E73" s="15">
        <f t="shared" si="22"/>
        <v>80</v>
      </c>
      <c r="F73" s="1"/>
      <c r="G73" s="18">
        <f t="shared" si="19"/>
        <v>0</v>
      </c>
      <c r="H73" s="18">
        <f t="shared" si="20"/>
        <v>0</v>
      </c>
    </row>
    <row r="74" spans="1:8" x14ac:dyDescent="0.25">
      <c r="A74" s="14" t="s">
        <v>3</v>
      </c>
      <c r="B74" s="15">
        <f t="shared" si="21"/>
        <v>0</v>
      </c>
      <c r="C74" s="15">
        <v>30</v>
      </c>
      <c r="D74" s="15">
        <f t="shared" si="18"/>
        <v>0</v>
      </c>
      <c r="E74" s="15">
        <f t="shared" si="22"/>
        <v>40</v>
      </c>
      <c r="F74" s="1"/>
      <c r="G74" s="18">
        <f t="shared" si="19"/>
        <v>0</v>
      </c>
      <c r="H74" s="18">
        <f t="shared" si="20"/>
        <v>0</v>
      </c>
    </row>
    <row r="75" spans="1:8" x14ac:dyDescent="0.25">
      <c r="A75" s="14" t="s">
        <v>4</v>
      </c>
      <c r="B75" s="15">
        <f t="shared" si="21"/>
        <v>0</v>
      </c>
      <c r="C75" s="15">
        <v>50</v>
      </c>
      <c r="D75" s="15">
        <f t="shared" si="18"/>
        <v>0</v>
      </c>
      <c r="E75" s="15">
        <f t="shared" si="22"/>
        <v>80</v>
      </c>
      <c r="F75" s="1"/>
      <c r="G75" s="18">
        <f t="shared" si="19"/>
        <v>0</v>
      </c>
      <c r="H75" s="18">
        <f t="shared" si="20"/>
        <v>0</v>
      </c>
    </row>
    <row r="76" spans="1:8" x14ac:dyDescent="0.25">
      <c r="A76" s="14" t="s">
        <v>5</v>
      </c>
      <c r="B76" s="15">
        <f t="shared" si="21"/>
        <v>0</v>
      </c>
      <c r="C76" s="15">
        <v>30</v>
      </c>
      <c r="D76" s="15">
        <f t="shared" si="18"/>
        <v>0</v>
      </c>
      <c r="E76" s="15">
        <f t="shared" si="22"/>
        <v>40</v>
      </c>
      <c r="F76" s="1"/>
      <c r="G76" s="18">
        <f t="shared" si="19"/>
        <v>0</v>
      </c>
      <c r="H76" s="18">
        <f t="shared" si="20"/>
        <v>0</v>
      </c>
    </row>
    <row r="77" spans="1:8" x14ac:dyDescent="0.25">
      <c r="A77" s="14" t="s">
        <v>6</v>
      </c>
      <c r="B77" s="15">
        <f t="shared" si="21"/>
        <v>0</v>
      </c>
      <c r="C77" s="15">
        <v>20</v>
      </c>
      <c r="D77" s="15">
        <f t="shared" si="18"/>
        <v>0</v>
      </c>
      <c r="E77" s="15">
        <f t="shared" si="22"/>
        <v>25</v>
      </c>
      <c r="F77" s="1"/>
      <c r="G77" s="18">
        <f t="shared" si="19"/>
        <v>0</v>
      </c>
      <c r="H77" s="18">
        <f t="shared" si="20"/>
        <v>0</v>
      </c>
    </row>
    <row r="78" spans="1:8" x14ac:dyDescent="0.25">
      <c r="A78" s="14" t="s">
        <v>8</v>
      </c>
      <c r="B78" s="15">
        <f t="shared" si="21"/>
        <v>0</v>
      </c>
      <c r="C78" s="15">
        <v>20</v>
      </c>
      <c r="D78" s="15">
        <f t="shared" si="18"/>
        <v>0</v>
      </c>
      <c r="E78" s="15">
        <f t="shared" si="22"/>
        <v>20</v>
      </c>
      <c r="F78" s="1"/>
      <c r="G78" s="18">
        <f t="shared" si="19"/>
        <v>0</v>
      </c>
      <c r="H78" s="18">
        <f t="shared" si="20"/>
        <v>0</v>
      </c>
    </row>
    <row r="79" spans="1:8" x14ac:dyDescent="0.25">
      <c r="A79" s="14" t="s">
        <v>7</v>
      </c>
      <c r="B79" s="15">
        <f t="shared" si="21"/>
        <v>0</v>
      </c>
      <c r="C79" s="15">
        <v>25</v>
      </c>
      <c r="D79" s="15">
        <f t="shared" si="18"/>
        <v>0</v>
      </c>
      <c r="E79" s="15">
        <f t="shared" si="22"/>
        <v>25</v>
      </c>
      <c r="F79" s="1"/>
      <c r="G79" s="18">
        <f t="shared" si="19"/>
        <v>0</v>
      </c>
      <c r="H79" s="18">
        <f t="shared" si="20"/>
        <v>0</v>
      </c>
    </row>
    <row r="80" spans="1:8" x14ac:dyDescent="0.25">
      <c r="A80" s="14" t="s">
        <v>9</v>
      </c>
      <c r="B80" s="15">
        <f t="shared" si="21"/>
        <v>0</v>
      </c>
      <c r="C80" s="15">
        <v>25</v>
      </c>
      <c r="D80" s="15">
        <f t="shared" si="18"/>
        <v>0</v>
      </c>
      <c r="E80" s="15">
        <f t="shared" si="22"/>
        <v>25</v>
      </c>
      <c r="F80" s="1"/>
      <c r="G80" s="18">
        <f t="shared" si="19"/>
        <v>0</v>
      </c>
      <c r="H80" s="18">
        <f t="shared" si="20"/>
        <v>0</v>
      </c>
    </row>
    <row r="81" spans="1:8" x14ac:dyDescent="0.25">
      <c r="A81" s="14" t="s">
        <v>10</v>
      </c>
      <c r="B81" s="15">
        <f t="shared" si="21"/>
        <v>0</v>
      </c>
      <c r="C81" s="15">
        <v>25</v>
      </c>
      <c r="D81" s="15">
        <f t="shared" si="18"/>
        <v>0</v>
      </c>
      <c r="E81" s="15">
        <f t="shared" si="22"/>
        <v>25</v>
      </c>
      <c r="F81" s="1"/>
      <c r="G81" s="18">
        <f t="shared" si="19"/>
        <v>0</v>
      </c>
      <c r="H81" s="18">
        <f t="shared" si="20"/>
        <v>0</v>
      </c>
    </row>
    <row r="82" spans="1:8" x14ac:dyDescent="0.25">
      <c r="B82" s="1"/>
      <c r="C82" s="1"/>
      <c r="D82" s="1"/>
      <c r="E82" s="1"/>
      <c r="F82" s="15" t="s">
        <v>18</v>
      </c>
      <c r="G82" s="22">
        <f>SUM(G71:G81)</f>
        <v>0</v>
      </c>
      <c r="H82" s="22">
        <f>SUM(H71:H81)</f>
        <v>0</v>
      </c>
    </row>
    <row r="83" spans="1:8" x14ac:dyDescent="0.25">
      <c r="A83" s="1"/>
      <c r="B83" s="1"/>
      <c r="C83" s="1"/>
      <c r="D83" s="1"/>
      <c r="E83" s="1"/>
      <c r="F83" s="1"/>
      <c r="G83" s="1"/>
      <c r="H83" s="1"/>
    </row>
    <row r="84" spans="1:8" x14ac:dyDescent="0.25">
      <c r="A84" s="35" t="s">
        <v>30</v>
      </c>
      <c r="B84" s="35"/>
      <c r="C84" s="35"/>
      <c r="D84" s="35"/>
      <c r="E84" s="35"/>
      <c r="F84" s="1"/>
      <c r="G84" s="1"/>
      <c r="H84" s="1"/>
    </row>
    <row r="85" spans="1:8" x14ac:dyDescent="0.25">
      <c r="A85" s="27" t="s">
        <v>11</v>
      </c>
      <c r="B85" s="27" t="s">
        <v>12</v>
      </c>
      <c r="C85" s="27" t="s">
        <v>13</v>
      </c>
      <c r="D85" s="27" t="s">
        <v>17</v>
      </c>
      <c r="E85" s="27" t="s">
        <v>14</v>
      </c>
      <c r="F85" s="1"/>
      <c r="G85" s="27" t="s">
        <v>15</v>
      </c>
      <c r="H85" s="27" t="s">
        <v>16</v>
      </c>
    </row>
    <row r="86" spans="1:8" x14ac:dyDescent="0.25">
      <c r="A86" s="28" t="s">
        <v>0</v>
      </c>
      <c r="B86" s="29">
        <f>B2</f>
        <v>0</v>
      </c>
      <c r="C86" s="29">
        <v>1500</v>
      </c>
      <c r="D86" s="29">
        <f t="shared" ref="D86:D96" si="23">IF(B86 &lt;&gt; 0, B86+(E86-C86),0)</f>
        <v>0</v>
      </c>
      <c r="E86" s="29">
        <f>C86+C2</f>
        <v>2050</v>
      </c>
      <c r="F86" s="1"/>
      <c r="G86" s="18">
        <f t="shared" ref="G86:G96" si="24">B86/C86</f>
        <v>0</v>
      </c>
      <c r="H86" s="18">
        <f t="shared" ref="H86:H96" si="25">D86/E86</f>
        <v>0</v>
      </c>
    </row>
    <row r="87" spans="1:8" x14ac:dyDescent="0.25">
      <c r="A87" s="28" t="s">
        <v>1</v>
      </c>
      <c r="B87" s="29">
        <f t="shared" ref="B87:B96" si="26">B3</f>
        <v>0</v>
      </c>
      <c r="C87" s="29">
        <v>35</v>
      </c>
      <c r="D87" s="29">
        <f t="shared" si="23"/>
        <v>0</v>
      </c>
      <c r="E87" s="29">
        <f t="shared" ref="E87:E96" si="27">C87+C3</f>
        <v>45</v>
      </c>
      <c r="F87" s="1"/>
      <c r="G87" s="18">
        <f t="shared" si="24"/>
        <v>0</v>
      </c>
      <c r="H87" s="18">
        <f t="shared" si="25"/>
        <v>0</v>
      </c>
    </row>
    <row r="88" spans="1:8" x14ac:dyDescent="0.25">
      <c r="A88" s="28" t="s">
        <v>2</v>
      </c>
      <c r="B88" s="29">
        <f t="shared" si="26"/>
        <v>0</v>
      </c>
      <c r="C88" s="29">
        <v>75</v>
      </c>
      <c r="D88" s="29">
        <f t="shared" si="23"/>
        <v>0</v>
      </c>
      <c r="E88" s="29">
        <f t="shared" si="27"/>
        <v>105</v>
      </c>
      <c r="F88" s="1"/>
      <c r="G88" s="18">
        <f t="shared" si="24"/>
        <v>0</v>
      </c>
      <c r="H88" s="18">
        <f t="shared" si="25"/>
        <v>0</v>
      </c>
    </row>
    <row r="89" spans="1:8" x14ac:dyDescent="0.25">
      <c r="A89" s="28" t="s">
        <v>3</v>
      </c>
      <c r="B89" s="29">
        <f t="shared" si="26"/>
        <v>0</v>
      </c>
      <c r="C89" s="29">
        <v>35</v>
      </c>
      <c r="D89" s="29">
        <f t="shared" si="23"/>
        <v>0</v>
      </c>
      <c r="E89" s="29">
        <f t="shared" si="27"/>
        <v>45</v>
      </c>
      <c r="F89" s="1"/>
      <c r="G89" s="18">
        <f t="shared" si="24"/>
        <v>0</v>
      </c>
      <c r="H89" s="18">
        <f t="shared" si="25"/>
        <v>0</v>
      </c>
    </row>
    <row r="90" spans="1:8" x14ac:dyDescent="0.25">
      <c r="A90" s="28" t="s">
        <v>4</v>
      </c>
      <c r="B90" s="29">
        <f t="shared" si="26"/>
        <v>0</v>
      </c>
      <c r="C90" s="29">
        <v>75</v>
      </c>
      <c r="D90" s="29">
        <f t="shared" si="23"/>
        <v>0</v>
      </c>
      <c r="E90" s="29">
        <f t="shared" si="27"/>
        <v>105</v>
      </c>
      <c r="F90" s="1"/>
      <c r="G90" s="18">
        <f t="shared" si="24"/>
        <v>0</v>
      </c>
      <c r="H90" s="18">
        <f t="shared" si="25"/>
        <v>0</v>
      </c>
    </row>
    <row r="91" spans="1:8" x14ac:dyDescent="0.25">
      <c r="A91" s="28" t="s">
        <v>5</v>
      </c>
      <c r="B91" s="29">
        <f t="shared" si="26"/>
        <v>0</v>
      </c>
      <c r="C91" s="29">
        <v>35</v>
      </c>
      <c r="D91" s="29">
        <f t="shared" si="23"/>
        <v>0</v>
      </c>
      <c r="E91" s="29">
        <f t="shared" si="27"/>
        <v>45</v>
      </c>
      <c r="F91" s="1"/>
      <c r="G91" s="18">
        <f t="shared" si="24"/>
        <v>0</v>
      </c>
      <c r="H91" s="18">
        <f t="shared" si="25"/>
        <v>0</v>
      </c>
    </row>
    <row r="92" spans="1:8" x14ac:dyDescent="0.25">
      <c r="A92" s="28" t="s">
        <v>6</v>
      </c>
      <c r="B92" s="29">
        <f t="shared" si="26"/>
        <v>0</v>
      </c>
      <c r="C92" s="29">
        <v>25</v>
      </c>
      <c r="D92" s="29">
        <f t="shared" si="23"/>
        <v>0</v>
      </c>
      <c r="E92" s="29">
        <f t="shared" si="27"/>
        <v>30</v>
      </c>
      <c r="F92" s="1"/>
      <c r="G92" s="18">
        <f t="shared" si="24"/>
        <v>0</v>
      </c>
      <c r="H92" s="18">
        <f t="shared" si="25"/>
        <v>0</v>
      </c>
    </row>
    <row r="93" spans="1:8" x14ac:dyDescent="0.25">
      <c r="A93" s="28" t="s">
        <v>8</v>
      </c>
      <c r="B93" s="29">
        <f t="shared" si="26"/>
        <v>0</v>
      </c>
      <c r="C93" s="29">
        <v>25</v>
      </c>
      <c r="D93" s="29">
        <f t="shared" si="23"/>
        <v>0</v>
      </c>
      <c r="E93" s="29">
        <f t="shared" si="27"/>
        <v>25</v>
      </c>
      <c r="F93" s="1"/>
      <c r="G93" s="18">
        <f t="shared" si="24"/>
        <v>0</v>
      </c>
      <c r="H93" s="18">
        <f t="shared" si="25"/>
        <v>0</v>
      </c>
    </row>
    <row r="94" spans="1:8" x14ac:dyDescent="0.25">
      <c r="A94" s="28" t="s">
        <v>7</v>
      </c>
      <c r="B94" s="29">
        <f t="shared" si="26"/>
        <v>0</v>
      </c>
      <c r="C94" s="29">
        <v>25</v>
      </c>
      <c r="D94" s="29">
        <f t="shared" si="23"/>
        <v>0</v>
      </c>
      <c r="E94" s="29">
        <f t="shared" si="27"/>
        <v>25</v>
      </c>
      <c r="F94" s="1"/>
      <c r="G94" s="18">
        <f t="shared" si="24"/>
        <v>0</v>
      </c>
      <c r="H94" s="18">
        <f t="shared" si="25"/>
        <v>0</v>
      </c>
    </row>
    <row r="95" spans="1:8" x14ac:dyDescent="0.25">
      <c r="A95" s="28" t="s">
        <v>9</v>
      </c>
      <c r="B95" s="29">
        <f t="shared" si="26"/>
        <v>0</v>
      </c>
      <c r="C95" s="29">
        <v>35</v>
      </c>
      <c r="D95" s="29">
        <f t="shared" si="23"/>
        <v>0</v>
      </c>
      <c r="E95" s="29">
        <f t="shared" si="27"/>
        <v>35</v>
      </c>
      <c r="F95" s="1"/>
      <c r="G95" s="18">
        <f t="shared" si="24"/>
        <v>0</v>
      </c>
      <c r="H95" s="18">
        <f t="shared" si="25"/>
        <v>0</v>
      </c>
    </row>
    <row r="96" spans="1:8" x14ac:dyDescent="0.25">
      <c r="A96" s="28" t="s">
        <v>10</v>
      </c>
      <c r="B96" s="29">
        <f t="shared" si="26"/>
        <v>0</v>
      </c>
      <c r="C96" s="29">
        <v>35</v>
      </c>
      <c r="D96" s="29">
        <f t="shared" si="23"/>
        <v>0</v>
      </c>
      <c r="E96" s="29">
        <f t="shared" si="27"/>
        <v>35</v>
      </c>
      <c r="F96" s="1"/>
      <c r="G96" s="18">
        <f t="shared" si="24"/>
        <v>0</v>
      </c>
      <c r="H96" s="18">
        <f t="shared" si="25"/>
        <v>0</v>
      </c>
    </row>
    <row r="97" spans="1:8" x14ac:dyDescent="0.25">
      <c r="B97" s="1"/>
      <c r="C97" s="1"/>
      <c r="D97" s="1"/>
      <c r="E97" s="1"/>
      <c r="F97" s="29" t="s">
        <v>18</v>
      </c>
      <c r="G97" s="30">
        <f>SUM(G86:G96)</f>
        <v>0</v>
      </c>
      <c r="H97" s="30">
        <f>SUM(H86:H96)</f>
        <v>0</v>
      </c>
    </row>
    <row r="98" spans="1:8" x14ac:dyDescent="0.25">
      <c r="B98" s="1"/>
      <c r="C98" s="1"/>
      <c r="D98" s="1"/>
      <c r="E98" s="1"/>
      <c r="F98" s="1"/>
      <c r="G98" s="1"/>
      <c r="H98" s="1"/>
    </row>
    <row r="99" spans="1:8" x14ac:dyDescent="0.25">
      <c r="A99" s="35" t="s">
        <v>31</v>
      </c>
      <c r="B99" s="35"/>
      <c r="C99" s="35"/>
      <c r="D99" s="35"/>
      <c r="E99" s="35"/>
      <c r="F99" s="1"/>
      <c r="G99" s="1"/>
      <c r="H99" s="1"/>
    </row>
    <row r="100" spans="1:8" x14ac:dyDescent="0.25">
      <c r="A100" s="31" t="s">
        <v>11</v>
      </c>
      <c r="B100" s="31" t="s">
        <v>12</v>
      </c>
      <c r="C100" s="31" t="s">
        <v>13</v>
      </c>
      <c r="D100" s="31" t="s">
        <v>17</v>
      </c>
      <c r="E100" s="31" t="s">
        <v>14</v>
      </c>
      <c r="F100" s="1"/>
      <c r="G100" s="31" t="s">
        <v>15</v>
      </c>
      <c r="H100" s="31" t="s">
        <v>16</v>
      </c>
    </row>
    <row r="101" spans="1:8" x14ac:dyDescent="0.25">
      <c r="A101" s="32" t="s">
        <v>0</v>
      </c>
      <c r="B101" s="33">
        <f>B2</f>
        <v>0</v>
      </c>
      <c r="C101" s="33">
        <v>1875</v>
      </c>
      <c r="D101" s="33">
        <f t="shared" ref="D101:D111" si="28">IF(B101 &lt;&gt; 0, B101+(E101-C101),0)</f>
        <v>0</v>
      </c>
      <c r="E101" s="33">
        <f>C101+C2</f>
        <v>2425</v>
      </c>
      <c r="F101" s="1"/>
      <c r="G101" s="18">
        <f t="shared" ref="G101:G111" si="29">B101/C101</f>
        <v>0</v>
      </c>
      <c r="H101" s="18">
        <f t="shared" ref="H101:H111" si="30">D101/E101</f>
        <v>0</v>
      </c>
    </row>
    <row r="102" spans="1:8" x14ac:dyDescent="0.25">
      <c r="A102" s="32" t="s">
        <v>1</v>
      </c>
      <c r="B102" s="33">
        <f t="shared" ref="B102:B111" si="31">B3</f>
        <v>0</v>
      </c>
      <c r="C102" s="33">
        <v>40</v>
      </c>
      <c r="D102" s="33">
        <f t="shared" si="28"/>
        <v>0</v>
      </c>
      <c r="E102" s="33">
        <f t="shared" ref="E102:E111" si="32">C102+C3</f>
        <v>50</v>
      </c>
      <c r="F102" s="1"/>
      <c r="G102" s="18">
        <f t="shared" si="29"/>
        <v>0</v>
      </c>
      <c r="H102" s="18">
        <f t="shared" si="30"/>
        <v>0</v>
      </c>
    </row>
    <row r="103" spans="1:8" x14ac:dyDescent="0.25">
      <c r="A103" s="32" t="s">
        <v>2</v>
      </c>
      <c r="B103" s="33">
        <f t="shared" si="31"/>
        <v>0</v>
      </c>
      <c r="C103" s="33">
        <v>100</v>
      </c>
      <c r="D103" s="33">
        <f t="shared" si="28"/>
        <v>0</v>
      </c>
      <c r="E103" s="33">
        <f t="shared" si="32"/>
        <v>130</v>
      </c>
      <c r="F103" s="1"/>
      <c r="G103" s="18">
        <f t="shared" si="29"/>
        <v>0</v>
      </c>
      <c r="H103" s="18">
        <f t="shared" si="30"/>
        <v>0</v>
      </c>
    </row>
    <row r="104" spans="1:8" x14ac:dyDescent="0.25">
      <c r="A104" s="32" t="s">
        <v>3</v>
      </c>
      <c r="B104" s="33">
        <f t="shared" si="31"/>
        <v>0</v>
      </c>
      <c r="C104" s="33">
        <v>40</v>
      </c>
      <c r="D104" s="33">
        <f t="shared" si="28"/>
        <v>0</v>
      </c>
      <c r="E104" s="33">
        <f t="shared" si="32"/>
        <v>50</v>
      </c>
      <c r="F104" s="1"/>
      <c r="G104" s="18">
        <f t="shared" si="29"/>
        <v>0</v>
      </c>
      <c r="H104" s="18">
        <f t="shared" si="30"/>
        <v>0</v>
      </c>
    </row>
    <row r="105" spans="1:8" x14ac:dyDescent="0.25">
      <c r="A105" s="32" t="s">
        <v>4</v>
      </c>
      <c r="B105" s="33">
        <f t="shared" si="31"/>
        <v>0</v>
      </c>
      <c r="C105" s="33">
        <v>100</v>
      </c>
      <c r="D105" s="33">
        <f t="shared" si="28"/>
        <v>0</v>
      </c>
      <c r="E105" s="33">
        <f t="shared" si="32"/>
        <v>130</v>
      </c>
      <c r="F105" s="1"/>
      <c r="G105" s="18">
        <f t="shared" si="29"/>
        <v>0</v>
      </c>
      <c r="H105" s="18">
        <f t="shared" si="30"/>
        <v>0</v>
      </c>
    </row>
    <row r="106" spans="1:8" x14ac:dyDescent="0.25">
      <c r="A106" s="32" t="s">
        <v>5</v>
      </c>
      <c r="B106" s="33">
        <f t="shared" si="31"/>
        <v>0</v>
      </c>
      <c r="C106" s="33">
        <v>40</v>
      </c>
      <c r="D106" s="33">
        <f t="shared" si="28"/>
        <v>0</v>
      </c>
      <c r="E106" s="33">
        <f t="shared" si="32"/>
        <v>50</v>
      </c>
      <c r="F106" s="1"/>
      <c r="G106" s="18">
        <f t="shared" si="29"/>
        <v>0</v>
      </c>
      <c r="H106" s="18">
        <f t="shared" si="30"/>
        <v>0</v>
      </c>
    </row>
    <row r="107" spans="1:8" x14ac:dyDescent="0.25">
      <c r="A107" s="32" t="s">
        <v>6</v>
      </c>
      <c r="B107" s="33">
        <f t="shared" si="31"/>
        <v>0</v>
      </c>
      <c r="C107" s="33">
        <v>30</v>
      </c>
      <c r="D107" s="33">
        <f t="shared" si="28"/>
        <v>0</v>
      </c>
      <c r="E107" s="33">
        <f t="shared" si="32"/>
        <v>35</v>
      </c>
      <c r="F107" s="1"/>
      <c r="G107" s="18">
        <f t="shared" si="29"/>
        <v>0</v>
      </c>
      <c r="H107" s="18">
        <f t="shared" si="30"/>
        <v>0</v>
      </c>
    </row>
    <row r="108" spans="1:8" x14ac:dyDescent="0.25">
      <c r="A108" s="32" t="s">
        <v>8</v>
      </c>
      <c r="B108" s="33">
        <f t="shared" si="31"/>
        <v>0</v>
      </c>
      <c r="C108" s="33">
        <v>30</v>
      </c>
      <c r="D108" s="33">
        <f t="shared" si="28"/>
        <v>0</v>
      </c>
      <c r="E108" s="33">
        <f t="shared" si="32"/>
        <v>30</v>
      </c>
      <c r="F108" s="1"/>
      <c r="G108" s="18">
        <f t="shared" si="29"/>
        <v>0</v>
      </c>
      <c r="H108" s="18">
        <f t="shared" si="30"/>
        <v>0</v>
      </c>
    </row>
    <row r="109" spans="1:8" x14ac:dyDescent="0.25">
      <c r="A109" s="32" t="s">
        <v>7</v>
      </c>
      <c r="B109" s="33">
        <f t="shared" si="31"/>
        <v>0</v>
      </c>
      <c r="C109" s="33">
        <v>35</v>
      </c>
      <c r="D109" s="33">
        <f t="shared" si="28"/>
        <v>0</v>
      </c>
      <c r="E109" s="33">
        <f t="shared" si="32"/>
        <v>35</v>
      </c>
      <c r="F109" s="1"/>
      <c r="G109" s="18">
        <f t="shared" si="29"/>
        <v>0</v>
      </c>
      <c r="H109" s="18">
        <f t="shared" si="30"/>
        <v>0</v>
      </c>
    </row>
    <row r="110" spans="1:8" x14ac:dyDescent="0.25">
      <c r="A110" s="32" t="s">
        <v>9</v>
      </c>
      <c r="B110" s="33">
        <f t="shared" si="31"/>
        <v>0</v>
      </c>
      <c r="C110" s="33">
        <v>40</v>
      </c>
      <c r="D110" s="33">
        <f t="shared" si="28"/>
        <v>0</v>
      </c>
      <c r="E110" s="33">
        <f t="shared" si="32"/>
        <v>40</v>
      </c>
      <c r="F110" s="1"/>
      <c r="G110" s="18">
        <f t="shared" si="29"/>
        <v>0</v>
      </c>
      <c r="H110" s="18">
        <f t="shared" si="30"/>
        <v>0</v>
      </c>
    </row>
    <row r="111" spans="1:8" x14ac:dyDescent="0.25">
      <c r="A111" s="32" t="s">
        <v>10</v>
      </c>
      <c r="B111" s="33">
        <f t="shared" si="31"/>
        <v>0</v>
      </c>
      <c r="C111" s="33">
        <v>40</v>
      </c>
      <c r="D111" s="33">
        <f t="shared" si="28"/>
        <v>0</v>
      </c>
      <c r="E111" s="33">
        <f t="shared" si="32"/>
        <v>40</v>
      </c>
      <c r="F111" s="1"/>
      <c r="G111" s="18">
        <f t="shared" si="29"/>
        <v>0</v>
      </c>
      <c r="H111" s="18">
        <f t="shared" si="30"/>
        <v>0</v>
      </c>
    </row>
    <row r="112" spans="1:8" x14ac:dyDescent="0.25">
      <c r="B112" s="1"/>
      <c r="C112" s="1"/>
      <c r="D112" s="1"/>
      <c r="E112" s="1"/>
      <c r="F112" s="33" t="s">
        <v>18</v>
      </c>
      <c r="G112" s="34">
        <f>SUM(G101:G111)</f>
        <v>0</v>
      </c>
      <c r="H112" s="34">
        <f>SUM(H101:H111)</f>
        <v>0</v>
      </c>
    </row>
    <row r="113" spans="1:8" x14ac:dyDescent="0.25">
      <c r="A113" s="24"/>
      <c r="B113" s="1"/>
      <c r="D113" s="1"/>
      <c r="E113" s="1"/>
      <c r="F113" s="1"/>
      <c r="G113" s="1"/>
      <c r="H113" s="1"/>
    </row>
    <row r="114" spans="1:8" x14ac:dyDescent="0.25">
      <c r="A114" s="24"/>
      <c r="B114" s="1"/>
      <c r="D114" s="1"/>
      <c r="E114" s="1"/>
      <c r="F114" s="1"/>
      <c r="G114" s="1"/>
      <c r="H114" s="1"/>
    </row>
    <row r="115" spans="1:8" x14ac:dyDescent="0.25">
      <c r="A115" s="24"/>
      <c r="D115" s="1"/>
      <c r="E115" s="1"/>
      <c r="F115" s="1"/>
      <c r="G115" s="1"/>
      <c r="H115" s="1"/>
    </row>
    <row r="116" spans="1:8" x14ac:dyDescent="0.25">
      <c r="A116" s="24"/>
      <c r="D116" s="1"/>
      <c r="E116" s="1"/>
      <c r="F116" s="1"/>
      <c r="G116" s="1"/>
      <c r="H116" s="1"/>
    </row>
    <row r="117" spans="1:8" x14ac:dyDescent="0.25">
      <c r="A117" s="24"/>
      <c r="D117" s="1"/>
      <c r="E117" s="1"/>
      <c r="F117" s="1"/>
      <c r="G117" s="1"/>
      <c r="H117" s="1"/>
    </row>
    <row r="118" spans="1:8" x14ac:dyDescent="0.25">
      <c r="A118" s="24"/>
      <c r="D118" s="1"/>
      <c r="E118" s="1"/>
      <c r="F118" s="1"/>
      <c r="G118" s="1"/>
      <c r="H118" s="1"/>
    </row>
    <row r="119" spans="1:8" x14ac:dyDescent="0.25">
      <c r="D119" s="1"/>
    </row>
    <row r="120" spans="1:8" x14ac:dyDescent="0.25">
      <c r="D120" s="1"/>
    </row>
    <row r="121" spans="1:8" x14ac:dyDescent="0.25">
      <c r="D121" s="1"/>
    </row>
    <row r="122" spans="1:8" x14ac:dyDescent="0.25">
      <c r="D122" s="1"/>
    </row>
    <row r="123" spans="1:8" x14ac:dyDescent="0.25">
      <c r="D123" s="1"/>
    </row>
    <row r="124" spans="1:8" x14ac:dyDescent="0.25">
      <c r="D124" s="1"/>
    </row>
  </sheetData>
  <mergeCells count="12">
    <mergeCell ref="J1:L1"/>
    <mergeCell ref="N1:P1"/>
    <mergeCell ref="R1:T1"/>
    <mergeCell ref="J8:L8"/>
    <mergeCell ref="N8:P8"/>
    <mergeCell ref="R8:T8"/>
    <mergeCell ref="A27:E27"/>
    <mergeCell ref="A41:E41"/>
    <mergeCell ref="A55:E55"/>
    <mergeCell ref="A69:E69"/>
    <mergeCell ref="A84:E84"/>
    <mergeCell ref="A99:E9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Ignacio Hernandez Parra</dc:creator>
  <cp:lastModifiedBy>Angel Ignacio Hernandez Parra</cp:lastModifiedBy>
  <dcterms:created xsi:type="dcterms:W3CDTF">2026-06-10T17:11:17Z</dcterms:created>
  <dcterms:modified xsi:type="dcterms:W3CDTF">2026-08-04T23:55:04Z</dcterms:modified>
</cp:coreProperties>
</file>