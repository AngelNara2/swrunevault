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rnandez\AndroidStudioProjects\SWRuneVault\"/>
    </mc:Choice>
  </mc:AlternateContent>
  <xr:revisionPtr revIDLastSave="0" documentId="13_ncr:1_{41BE9BAB-D19F-4330-9C6C-DD249B94FF11}" xr6:coauthVersionLast="47" xr6:coauthVersionMax="47" xr10:uidLastSave="{00000000-0000-0000-0000-000000000000}"/>
  <bookViews>
    <workbookView xWindow="-15765" yWindow="5010" windowWidth="15090" windowHeight="16905" xr2:uid="{5F22712D-7A33-403F-BDB6-6DFCB32149B0}"/>
  </bookViews>
  <sheets>
    <sheet name="Calculo" sheetId="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8" l="1"/>
  <c r="L21" i="8"/>
  <c r="O21" i="8" s="1"/>
  <c r="N20" i="8"/>
  <c r="N22" i="8"/>
  <c r="N23" i="8"/>
  <c r="N24" i="8"/>
  <c r="N25" i="8"/>
  <c r="N26" i="8"/>
  <c r="E20" i="8"/>
  <c r="E19" i="8"/>
  <c r="E18" i="8"/>
  <c r="D21" i="8"/>
  <c r="G21" i="8" s="1"/>
  <c r="D20" i="8"/>
  <c r="G20" i="8" s="1"/>
  <c r="D3" i="8"/>
  <c r="J19" i="8"/>
  <c r="N19" i="8" s="1"/>
  <c r="J20" i="8"/>
  <c r="J21" i="8"/>
  <c r="N21" i="8" s="1"/>
  <c r="J22" i="8"/>
  <c r="J23" i="8"/>
  <c r="J24" i="8"/>
  <c r="J25" i="8"/>
  <c r="J26" i="8"/>
  <c r="J27" i="8"/>
  <c r="N27" i="8" s="1"/>
  <c r="J28" i="8"/>
  <c r="N28" i="8" s="1"/>
  <c r="R19" i="8"/>
  <c r="R20" i="8"/>
  <c r="R21" i="8"/>
  <c r="R22" i="8"/>
  <c r="R23" i="8"/>
  <c r="R24" i="8"/>
  <c r="R25" i="8"/>
  <c r="R26" i="8"/>
  <c r="R27" i="8"/>
  <c r="R28" i="8"/>
  <c r="B34" i="8"/>
  <c r="B35" i="8"/>
  <c r="B36" i="8"/>
  <c r="B37" i="8"/>
  <c r="B38" i="8"/>
  <c r="B39" i="8"/>
  <c r="B40" i="8"/>
  <c r="B41" i="8"/>
  <c r="B42" i="8"/>
  <c r="B43" i="8"/>
  <c r="J34" i="8"/>
  <c r="J35" i="8"/>
  <c r="J36" i="8"/>
  <c r="J37" i="8"/>
  <c r="J38" i="8"/>
  <c r="J39" i="8"/>
  <c r="J40" i="8"/>
  <c r="J41" i="8"/>
  <c r="J42" i="8"/>
  <c r="J43" i="8"/>
  <c r="R34" i="8"/>
  <c r="R35" i="8"/>
  <c r="R36" i="8"/>
  <c r="R37" i="8"/>
  <c r="R38" i="8"/>
  <c r="R39" i="8"/>
  <c r="R40" i="8"/>
  <c r="R41" i="8"/>
  <c r="R42" i="8"/>
  <c r="R43" i="8"/>
  <c r="R33" i="8"/>
  <c r="J33" i="8"/>
  <c r="B33" i="8"/>
  <c r="R18" i="8"/>
  <c r="J18" i="8"/>
  <c r="N18" i="8" s="1"/>
  <c r="B19" i="8"/>
  <c r="F19" i="8" s="1"/>
  <c r="B20" i="8"/>
  <c r="F20" i="8" s="1"/>
  <c r="B21" i="8"/>
  <c r="F21" i="8" s="1"/>
  <c r="B22" i="8"/>
  <c r="F22" i="8" s="1"/>
  <c r="B23" i="8"/>
  <c r="F23" i="8" s="1"/>
  <c r="B24" i="8"/>
  <c r="F24" i="8" s="1"/>
  <c r="B25" i="8"/>
  <c r="F25" i="8" s="1"/>
  <c r="B26" i="8"/>
  <c r="F26" i="8" s="1"/>
  <c r="B27" i="8"/>
  <c r="F27" i="8" s="1"/>
  <c r="B28" i="8"/>
  <c r="B18" i="8"/>
  <c r="F18" i="8" s="1"/>
  <c r="M34" i="8"/>
  <c r="M35" i="8"/>
  <c r="M36" i="8"/>
  <c r="M37" i="8"/>
  <c r="M38" i="8"/>
  <c r="M39" i="8"/>
  <c r="M40" i="8"/>
  <c r="M41" i="8"/>
  <c r="M42" i="8"/>
  <c r="M43" i="8"/>
  <c r="E34" i="8"/>
  <c r="E35" i="8"/>
  <c r="E36" i="8"/>
  <c r="E37" i="8"/>
  <c r="E38" i="8"/>
  <c r="E39" i="8"/>
  <c r="E40" i="8"/>
  <c r="E41" i="8"/>
  <c r="E42" i="8"/>
  <c r="E43" i="8"/>
  <c r="U19" i="8"/>
  <c r="U20" i="8"/>
  <c r="U21" i="8"/>
  <c r="U22" i="8"/>
  <c r="U23" i="8"/>
  <c r="U24" i="8"/>
  <c r="U25" i="8"/>
  <c r="U26" i="8"/>
  <c r="U27" i="8"/>
  <c r="U28" i="8"/>
  <c r="M19" i="8"/>
  <c r="M20" i="8"/>
  <c r="M21" i="8"/>
  <c r="M22" i="8"/>
  <c r="M23" i="8"/>
  <c r="M24" i="8"/>
  <c r="M25" i="8"/>
  <c r="M26" i="8"/>
  <c r="M27" i="8"/>
  <c r="M28" i="8"/>
  <c r="E21" i="8"/>
  <c r="E22" i="8"/>
  <c r="E23" i="8"/>
  <c r="E24" i="8"/>
  <c r="E25" i="8"/>
  <c r="E26" i="8"/>
  <c r="E27" i="8"/>
  <c r="E28" i="8"/>
  <c r="M18" i="8"/>
  <c r="U18" i="8"/>
  <c r="E33" i="8"/>
  <c r="M33" i="8"/>
  <c r="U34" i="8"/>
  <c r="U35" i="8"/>
  <c r="U36" i="8"/>
  <c r="U37" i="8"/>
  <c r="U38" i="8"/>
  <c r="U39" i="8"/>
  <c r="U40" i="8"/>
  <c r="U41" i="8"/>
  <c r="U42" i="8"/>
  <c r="U43" i="8"/>
  <c r="U33" i="8"/>
  <c r="V43" i="8" l="1"/>
  <c r="T43" i="8"/>
  <c r="W43" i="8" s="1"/>
  <c r="V42" i="8"/>
  <c r="T42" i="8"/>
  <c r="W42" i="8" s="1"/>
  <c r="V41" i="8"/>
  <c r="T41" i="8"/>
  <c r="W41" i="8" s="1"/>
  <c r="V40" i="8"/>
  <c r="T40" i="8"/>
  <c r="W40" i="8" s="1"/>
  <c r="V39" i="8"/>
  <c r="T39" i="8"/>
  <c r="W39" i="8" s="1"/>
  <c r="V38" i="8"/>
  <c r="T38" i="8"/>
  <c r="W38" i="8" s="1"/>
  <c r="V37" i="8"/>
  <c r="T37" i="8"/>
  <c r="W37" i="8" s="1"/>
  <c r="V36" i="8"/>
  <c r="T36" i="8"/>
  <c r="W36" i="8" s="1"/>
  <c r="V35" i="8"/>
  <c r="T35" i="8"/>
  <c r="W35" i="8" s="1"/>
  <c r="V34" i="8"/>
  <c r="T34" i="8"/>
  <c r="W34" i="8" s="1"/>
  <c r="V33" i="8"/>
  <c r="T33" i="8"/>
  <c r="W33" i="8" s="1"/>
  <c r="N43" i="8"/>
  <c r="L43" i="8"/>
  <c r="O43" i="8" s="1"/>
  <c r="N42" i="8"/>
  <c r="L42" i="8"/>
  <c r="O42" i="8" s="1"/>
  <c r="N41" i="8"/>
  <c r="L41" i="8"/>
  <c r="O41" i="8" s="1"/>
  <c r="N40" i="8"/>
  <c r="L40" i="8"/>
  <c r="O40" i="8" s="1"/>
  <c r="N39" i="8"/>
  <c r="L39" i="8"/>
  <c r="O39" i="8" s="1"/>
  <c r="N38" i="8"/>
  <c r="L38" i="8"/>
  <c r="O38" i="8" s="1"/>
  <c r="N37" i="8"/>
  <c r="L37" i="8"/>
  <c r="O37" i="8" s="1"/>
  <c r="N36" i="8"/>
  <c r="L36" i="8"/>
  <c r="O36" i="8" s="1"/>
  <c r="N35" i="8"/>
  <c r="L35" i="8"/>
  <c r="O35" i="8" s="1"/>
  <c r="N34" i="8"/>
  <c r="L34" i="8"/>
  <c r="O34" i="8" s="1"/>
  <c r="N33" i="8"/>
  <c r="L33" i="8"/>
  <c r="O33" i="8" s="1"/>
  <c r="F43" i="8"/>
  <c r="D43" i="8"/>
  <c r="G43" i="8" s="1"/>
  <c r="F42" i="8"/>
  <c r="D42" i="8"/>
  <c r="G42" i="8" s="1"/>
  <c r="F41" i="8"/>
  <c r="D41" i="8"/>
  <c r="G41" i="8" s="1"/>
  <c r="F40" i="8"/>
  <c r="D40" i="8"/>
  <c r="G40" i="8" s="1"/>
  <c r="F39" i="8"/>
  <c r="D39" i="8"/>
  <c r="G39" i="8" s="1"/>
  <c r="F38" i="8"/>
  <c r="D38" i="8"/>
  <c r="G38" i="8" s="1"/>
  <c r="F37" i="8"/>
  <c r="D37" i="8"/>
  <c r="G37" i="8" s="1"/>
  <c r="F36" i="8"/>
  <c r="D36" i="8"/>
  <c r="G36" i="8" s="1"/>
  <c r="F35" i="8"/>
  <c r="D35" i="8"/>
  <c r="G35" i="8" s="1"/>
  <c r="F34" i="8"/>
  <c r="D34" i="8"/>
  <c r="G34" i="8" s="1"/>
  <c r="F33" i="8"/>
  <c r="D33" i="8"/>
  <c r="G33" i="8" s="1"/>
  <c r="V28" i="8"/>
  <c r="T28" i="8"/>
  <c r="W28" i="8" s="1"/>
  <c r="V27" i="8"/>
  <c r="T27" i="8"/>
  <c r="W27" i="8" s="1"/>
  <c r="V26" i="8"/>
  <c r="T26" i="8"/>
  <c r="W26" i="8" s="1"/>
  <c r="V25" i="8"/>
  <c r="T25" i="8"/>
  <c r="W25" i="8" s="1"/>
  <c r="V24" i="8"/>
  <c r="T24" i="8"/>
  <c r="W24" i="8" s="1"/>
  <c r="V23" i="8"/>
  <c r="T23" i="8"/>
  <c r="W23" i="8" s="1"/>
  <c r="V22" i="8"/>
  <c r="T22" i="8"/>
  <c r="W22" i="8" s="1"/>
  <c r="V21" i="8"/>
  <c r="T21" i="8"/>
  <c r="W21" i="8" s="1"/>
  <c r="V20" i="8"/>
  <c r="T20" i="8"/>
  <c r="W20" i="8" s="1"/>
  <c r="V19" i="8"/>
  <c r="T19" i="8"/>
  <c r="W19" i="8" s="1"/>
  <c r="V18" i="8"/>
  <c r="T18" i="8"/>
  <c r="W18" i="8" s="1"/>
  <c r="L28" i="8"/>
  <c r="O28" i="8" s="1"/>
  <c r="L27" i="8"/>
  <c r="O27" i="8" s="1"/>
  <c r="L26" i="8"/>
  <c r="O26" i="8" s="1"/>
  <c r="L25" i="8"/>
  <c r="O25" i="8" s="1"/>
  <c r="L24" i="8"/>
  <c r="O24" i="8" s="1"/>
  <c r="L23" i="8"/>
  <c r="O23" i="8" s="1"/>
  <c r="L22" i="8"/>
  <c r="O22" i="8" s="1"/>
  <c r="L20" i="8"/>
  <c r="O20" i="8" s="1"/>
  <c r="L19" i="8"/>
  <c r="O19" i="8" s="1"/>
  <c r="L18" i="8"/>
  <c r="O18" i="8" s="1"/>
  <c r="D28" i="8"/>
  <c r="G28" i="8" s="1"/>
  <c r="D27" i="8"/>
  <c r="G27" i="8" s="1"/>
  <c r="D26" i="8"/>
  <c r="G26" i="8" s="1"/>
  <c r="D25" i="8"/>
  <c r="G25" i="8" s="1"/>
  <c r="D24" i="8"/>
  <c r="G24" i="8" s="1"/>
  <c r="D23" i="8"/>
  <c r="G23" i="8" s="1"/>
  <c r="D22" i="8"/>
  <c r="G22" i="8" s="1"/>
  <c r="D19" i="8"/>
  <c r="G19" i="8" s="1"/>
  <c r="D18" i="8"/>
  <c r="G18" i="8" s="1"/>
  <c r="D13" i="8"/>
  <c r="D12" i="8"/>
  <c r="D11" i="8"/>
  <c r="D10" i="8"/>
  <c r="D9" i="8"/>
  <c r="D8" i="8"/>
  <c r="D7" i="8"/>
  <c r="D6" i="8"/>
  <c r="D5" i="8"/>
  <c r="D4" i="8"/>
  <c r="O29" i="8" l="1"/>
  <c r="G29" i="8"/>
  <c r="V44" i="8"/>
  <c r="D14" i="8"/>
  <c r="V29" i="8"/>
  <c r="F44" i="8"/>
  <c r="N29" i="8"/>
  <c r="O4" i="8" s="1"/>
  <c r="F29" i="8"/>
  <c r="N44" i="8"/>
  <c r="G44" i="8"/>
  <c r="W44" i="8"/>
  <c r="W29" i="8"/>
  <c r="O44" i="8"/>
  <c r="P4" i="8" l="1"/>
  <c r="T11" i="8"/>
  <c r="T4" i="8"/>
  <c r="S11" i="8"/>
  <c r="O11" i="8"/>
  <c r="P11" i="8"/>
  <c r="L11" i="8"/>
  <c r="S4" i="8"/>
  <c r="K11" i="8"/>
  <c r="L4" i="8"/>
  <c r="K4" i="8"/>
  <c r="O5" i="8"/>
  <c r="K5" i="8"/>
  <c r="S12" i="8"/>
  <c r="K12" i="8"/>
  <c r="S5" i="8"/>
  <c r="O12" i="8"/>
  <c r="P6" i="8" l="1"/>
  <c r="O6" i="8"/>
  <c r="K13" i="8"/>
  <c r="P13" i="8"/>
  <c r="L13" i="8"/>
  <c r="O13" i="8"/>
  <c r="L6" i="8"/>
  <c r="K6" i="8"/>
  <c r="S13" i="8"/>
  <c r="T6" i="8"/>
  <c r="T13" i="8"/>
  <c r="S6" i="8"/>
</calcChain>
</file>

<file path=xl/sharedStrings.xml><?xml version="1.0" encoding="utf-8"?>
<sst xmlns="http://schemas.openxmlformats.org/spreadsheetml/2006/main" count="188" uniqueCount="39">
  <si>
    <t>HP</t>
  </si>
  <si>
    <t>HP %</t>
  </si>
  <si>
    <t>ATK</t>
  </si>
  <si>
    <t>ATK %</t>
  </si>
  <si>
    <t xml:space="preserve">DEF </t>
  </si>
  <si>
    <t>DEF %</t>
  </si>
  <si>
    <t>VEL</t>
  </si>
  <si>
    <t>DAÑO CRITICO</t>
  </si>
  <si>
    <t>TASA CRITICA</t>
  </si>
  <si>
    <t>PRESICION</t>
  </si>
  <si>
    <t>RESISTENCIA</t>
  </si>
  <si>
    <t>Estadistica</t>
  </si>
  <si>
    <t>Aporte</t>
  </si>
  <si>
    <t>Aporte Total</t>
  </si>
  <si>
    <t>Actual</t>
  </si>
  <si>
    <t>Actual + piedra</t>
  </si>
  <si>
    <t>Eficiencia</t>
  </si>
  <si>
    <t>Maximo teorico</t>
  </si>
  <si>
    <t>1 estrella</t>
  </si>
  <si>
    <t>2 estrellas</t>
  </si>
  <si>
    <t>3 estrellas</t>
  </si>
  <si>
    <t>4 estrellas</t>
  </si>
  <si>
    <t>5 estrellas</t>
  </si>
  <si>
    <t>6 estrellas</t>
  </si>
  <si>
    <t>2 estrella</t>
  </si>
  <si>
    <t>3 estrella</t>
  </si>
  <si>
    <t>4 estrella</t>
  </si>
  <si>
    <t>5 estrella</t>
  </si>
  <si>
    <t>6 estrella</t>
  </si>
  <si>
    <t>SubStats</t>
  </si>
  <si>
    <t>InnateStat</t>
  </si>
  <si>
    <t>B</t>
  </si>
  <si>
    <t>B+12</t>
  </si>
  <si>
    <t>B+G</t>
  </si>
  <si>
    <t>B+12+G</t>
  </si>
  <si>
    <t>AporteB</t>
  </si>
  <si>
    <t>AporteM</t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</si>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</sst>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EA0EA"/>
        <bgColor indexed="64"/>
      </patternFill>
    </fill>
    <fill>
      <patternFill patternType="solid">
        <fgColor rgb="FFA0BDF6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78D8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4200-E308-411F-9845-FF0C8E9CC773}">
  <dimension ref="A1:W113"/>
  <sheetViews>
    <sheetView tabSelected="1" topLeftCell="H1" workbookViewId="0">
      <selection activeCell="L24" sqref="L24"/>
    </sheetView>
  </sheetViews>
  <sheetFormatPr baseColWidth="10" defaultRowHeight="15" x14ac:dyDescent="0.25"/>
  <cols>
    <col min="1" max="1" width="13.85546875" bestFit="1" customWidth="1"/>
    <col min="2" max="2" width="14.85546875" customWidth="1"/>
    <col min="3" max="3" width="6.5703125" customWidth="1"/>
    <col min="4" max="4" width="14.140625" customWidth="1"/>
    <col min="5" max="5" width="7.42578125" bestFit="1" customWidth="1"/>
    <col min="6" max="6" width="14.85546875" customWidth="1"/>
    <col min="7" max="7" width="8.85546875" bestFit="1" customWidth="1"/>
    <col min="8" max="8" width="4" bestFit="1" customWidth="1"/>
    <col min="9" max="9" width="13.85546875" bestFit="1" customWidth="1"/>
    <col min="10" max="10" width="14.85546875" bestFit="1" customWidth="1"/>
    <col min="11" max="11" width="6.5703125" bestFit="1" customWidth="1"/>
    <col min="12" max="12" width="14.140625" customWidth="1"/>
    <col min="13" max="13" width="7.42578125" bestFit="1" customWidth="1"/>
    <col min="14" max="14" width="14.85546875" bestFit="1" customWidth="1"/>
    <col min="15" max="15" width="8.85546875" bestFit="1" customWidth="1"/>
    <col min="16" max="16" width="14.140625" bestFit="1" customWidth="1"/>
    <col min="17" max="17" width="13.85546875" bestFit="1" customWidth="1"/>
    <col min="18" max="18" width="14.85546875" bestFit="1" customWidth="1"/>
    <col min="19" max="19" width="6.5703125" bestFit="1" customWidth="1"/>
    <col min="20" max="20" width="14.140625" bestFit="1" customWidth="1"/>
    <col min="21" max="21" width="7.42578125" bestFit="1" customWidth="1"/>
    <col min="22" max="22" width="14.85546875" customWidth="1"/>
    <col min="23" max="23" width="8.85546875" bestFit="1" customWidth="1"/>
  </cols>
  <sheetData>
    <row r="1" spans="1:23" x14ac:dyDescent="0.25">
      <c r="A1" s="41" t="s">
        <v>30</v>
      </c>
      <c r="B1" s="41"/>
      <c r="C1" s="41"/>
      <c r="D1" s="41"/>
      <c r="F1" s="42" t="s">
        <v>29</v>
      </c>
      <c r="G1" s="42"/>
      <c r="H1" s="42"/>
    </row>
    <row r="2" spans="1:23" x14ac:dyDescent="0.25">
      <c r="A2" s="4" t="s">
        <v>11</v>
      </c>
      <c r="B2" s="4" t="s">
        <v>31</v>
      </c>
      <c r="C2" s="4" t="s">
        <v>37</v>
      </c>
      <c r="D2" s="4" t="s">
        <v>12</v>
      </c>
      <c r="F2" s="7" t="s">
        <v>11</v>
      </c>
      <c r="G2" s="24" t="s">
        <v>31</v>
      </c>
      <c r="H2" s="7" t="s">
        <v>38</v>
      </c>
      <c r="J2" s="42" t="s">
        <v>18</v>
      </c>
      <c r="K2" s="42"/>
      <c r="L2" s="42"/>
      <c r="N2" s="35" t="s">
        <v>24</v>
      </c>
      <c r="O2" s="35"/>
      <c r="P2" s="35"/>
      <c r="R2" s="36" t="s">
        <v>25</v>
      </c>
      <c r="S2" s="36"/>
      <c r="T2" s="36"/>
    </row>
    <row r="3" spans="1:23" x14ac:dyDescent="0.25">
      <c r="A3" s="3" t="s">
        <v>0</v>
      </c>
      <c r="B3" s="2"/>
      <c r="C3" s="2">
        <v>355</v>
      </c>
      <c r="D3" s="17">
        <f t="shared" ref="D3:D13" si="0">B3/C3</f>
        <v>0</v>
      </c>
      <c r="F3" s="5" t="s">
        <v>0</v>
      </c>
      <c r="G3" s="25"/>
      <c r="H3" s="6">
        <v>550</v>
      </c>
      <c r="J3" s="1"/>
      <c r="K3" s="1" t="s">
        <v>14</v>
      </c>
      <c r="L3" s="1" t="s">
        <v>15</v>
      </c>
      <c r="N3" s="1"/>
      <c r="O3" s="1" t="s">
        <v>14</v>
      </c>
      <c r="P3" s="1" t="s">
        <v>15</v>
      </c>
      <c r="R3" s="1"/>
      <c r="S3" s="1" t="s">
        <v>14</v>
      </c>
      <c r="T3" s="1" t="s">
        <v>15</v>
      </c>
    </row>
    <row r="4" spans="1:23" x14ac:dyDescent="0.25">
      <c r="A4" s="3" t="s">
        <v>1</v>
      </c>
      <c r="B4" s="2"/>
      <c r="C4" s="2">
        <v>8</v>
      </c>
      <c r="D4" s="17">
        <f t="shared" si="0"/>
        <v>0</v>
      </c>
      <c r="F4" s="5" t="s">
        <v>1</v>
      </c>
      <c r="G4" s="25"/>
      <c r="H4" s="6">
        <v>10</v>
      </c>
      <c r="J4" s="1" t="s">
        <v>13</v>
      </c>
      <c r="K4" s="17">
        <f>D14+F29</f>
        <v>6.8</v>
      </c>
      <c r="L4" s="17">
        <f>D14+G29</f>
        <v>5.95</v>
      </c>
      <c r="N4" s="1" t="s">
        <v>13</v>
      </c>
      <c r="O4" s="17">
        <f>D14+N29</f>
        <v>4.5999999999999996</v>
      </c>
      <c r="P4" s="17">
        <f>D14+O29</f>
        <v>4.5066666666666659</v>
      </c>
      <c r="R4" s="1" t="s">
        <v>13</v>
      </c>
      <c r="S4" s="17">
        <f>D14+V29</f>
        <v>3.4233333333333333</v>
      </c>
      <c r="T4" s="17">
        <f>D14+W29</f>
        <v>3.5857142857142854</v>
      </c>
    </row>
    <row r="5" spans="1:23" x14ac:dyDescent="0.25">
      <c r="A5" s="3" t="s">
        <v>2</v>
      </c>
      <c r="B5" s="2"/>
      <c r="C5" s="2">
        <v>17</v>
      </c>
      <c r="D5" s="17">
        <f t="shared" si="0"/>
        <v>0</v>
      </c>
      <c r="F5" s="5" t="s">
        <v>2</v>
      </c>
      <c r="G5" s="25"/>
      <c r="H5" s="6">
        <v>30</v>
      </c>
      <c r="J5" s="1" t="s">
        <v>17</v>
      </c>
      <c r="K5" s="1">
        <f>IF($D$14&lt;&gt;0,3,2.8)</f>
        <v>3</v>
      </c>
      <c r="L5" s="1"/>
      <c r="N5" s="1" t="s">
        <v>17</v>
      </c>
      <c r="O5" s="1">
        <f>IF($D$14&lt;&gt;0,3,2.8)</f>
        <v>3</v>
      </c>
      <c r="P5" s="1"/>
      <c r="R5" s="1" t="s">
        <v>17</v>
      </c>
      <c r="S5" s="1">
        <f>IF($D$14&lt;&gt;0,3,2.8)</f>
        <v>3</v>
      </c>
      <c r="T5" s="1"/>
    </row>
    <row r="6" spans="1:23" x14ac:dyDescent="0.25">
      <c r="A6" s="3" t="s">
        <v>3</v>
      </c>
      <c r="B6" s="2"/>
      <c r="C6" s="2">
        <v>8</v>
      </c>
      <c r="D6" s="17">
        <f t="shared" si="0"/>
        <v>0</v>
      </c>
      <c r="F6" s="5" t="s">
        <v>3</v>
      </c>
      <c r="G6" s="25">
        <v>21</v>
      </c>
      <c r="H6" s="6">
        <v>10</v>
      </c>
      <c r="J6" s="1" t="s">
        <v>16</v>
      </c>
      <c r="K6" s="22">
        <f>(K4/$K$5)*100</f>
        <v>226.66666666666666</v>
      </c>
      <c r="L6" s="22">
        <f>(L4/$K$5)*100</f>
        <v>198.33333333333334</v>
      </c>
      <c r="N6" s="1" t="s">
        <v>16</v>
      </c>
      <c r="O6" s="22">
        <f>(O4/$O$5)*100</f>
        <v>153.33333333333331</v>
      </c>
      <c r="P6" s="22">
        <f>(P4/$O$5)*100</f>
        <v>150.2222222222222</v>
      </c>
      <c r="R6" s="1" t="s">
        <v>16</v>
      </c>
      <c r="S6" s="22">
        <f>(S4/$S$5)*100</f>
        <v>114.11111111111111</v>
      </c>
      <c r="T6" s="22">
        <f>(T4/$S$5)*100</f>
        <v>119.52380952380952</v>
      </c>
    </row>
    <row r="7" spans="1:23" x14ac:dyDescent="0.25">
      <c r="A7" s="3" t="s">
        <v>4</v>
      </c>
      <c r="B7" s="2"/>
      <c r="C7" s="2">
        <v>17</v>
      </c>
      <c r="D7" s="17">
        <f t="shared" si="0"/>
        <v>0</v>
      </c>
      <c r="F7" s="5" t="s">
        <v>4</v>
      </c>
      <c r="G7" s="25"/>
      <c r="H7" s="6">
        <v>30</v>
      </c>
    </row>
    <row r="8" spans="1:23" x14ac:dyDescent="0.25">
      <c r="A8" s="3" t="s">
        <v>5</v>
      </c>
      <c r="B8" s="2"/>
      <c r="C8" s="2">
        <v>8</v>
      </c>
      <c r="D8" s="17">
        <f t="shared" si="0"/>
        <v>0</v>
      </c>
      <c r="F8" s="5" t="s">
        <v>5</v>
      </c>
      <c r="G8" s="25"/>
      <c r="H8" s="6">
        <v>10</v>
      </c>
    </row>
    <row r="9" spans="1:23" x14ac:dyDescent="0.25">
      <c r="A9" s="3" t="s">
        <v>6</v>
      </c>
      <c r="B9" s="2"/>
      <c r="C9" s="2">
        <v>6</v>
      </c>
      <c r="D9" s="17">
        <f t="shared" si="0"/>
        <v>0</v>
      </c>
      <c r="F9" s="5" t="s">
        <v>6</v>
      </c>
      <c r="G9" s="25">
        <v>8</v>
      </c>
      <c r="H9" s="6">
        <v>5</v>
      </c>
      <c r="J9" s="37" t="s">
        <v>26</v>
      </c>
      <c r="K9" s="37"/>
      <c r="L9" s="37"/>
      <c r="N9" s="38" t="s">
        <v>27</v>
      </c>
      <c r="O9" s="38"/>
      <c r="P9" s="38"/>
      <c r="R9" s="39" t="s">
        <v>28</v>
      </c>
      <c r="S9" s="39"/>
      <c r="T9" s="39"/>
    </row>
    <row r="10" spans="1:23" x14ac:dyDescent="0.25">
      <c r="A10" s="3" t="s">
        <v>8</v>
      </c>
      <c r="B10" s="2">
        <v>6</v>
      </c>
      <c r="C10" s="2">
        <v>6</v>
      </c>
      <c r="D10" s="17">
        <f t="shared" si="0"/>
        <v>1</v>
      </c>
      <c r="F10" s="5" t="s">
        <v>8</v>
      </c>
      <c r="G10" s="25"/>
      <c r="H10" s="6">
        <v>0</v>
      </c>
      <c r="J10" s="1"/>
      <c r="K10" s="1" t="s">
        <v>14</v>
      </c>
      <c r="L10" s="1" t="s">
        <v>15</v>
      </c>
      <c r="N10" s="1"/>
      <c r="O10" s="1" t="s">
        <v>14</v>
      </c>
      <c r="P10" s="1" t="s">
        <v>15</v>
      </c>
      <c r="R10" s="1"/>
      <c r="S10" s="1" t="s">
        <v>14</v>
      </c>
      <c r="T10" s="1" t="s">
        <v>15</v>
      </c>
    </row>
    <row r="11" spans="1:23" x14ac:dyDescent="0.25">
      <c r="A11" s="3" t="s">
        <v>7</v>
      </c>
      <c r="B11" s="2"/>
      <c r="C11" s="2">
        <v>7</v>
      </c>
      <c r="D11" s="17">
        <f t="shared" si="0"/>
        <v>0</v>
      </c>
      <c r="F11" s="5" t="s">
        <v>7</v>
      </c>
      <c r="G11" s="25">
        <v>6</v>
      </c>
      <c r="H11" s="6">
        <v>0</v>
      </c>
      <c r="J11" s="1" t="s">
        <v>13</v>
      </c>
      <c r="K11" s="17">
        <f>D14+F44</f>
        <v>2.94</v>
      </c>
      <c r="L11" s="17">
        <f>D14+G44</f>
        <v>3.1349999999999998</v>
      </c>
      <c r="N11" s="1" t="s">
        <v>13</v>
      </c>
      <c r="O11" s="17">
        <f>D14+N44</f>
        <v>2.5885714285714285</v>
      </c>
      <c r="P11" s="17">
        <f>D14+O44</f>
        <v>2.7907936507936508</v>
      </c>
      <c r="R11" s="1" t="s">
        <v>13</v>
      </c>
      <c r="S11" s="17">
        <f>D14+V44</f>
        <v>2.3380952380952382</v>
      </c>
      <c r="T11" s="17">
        <f>D14+W44</f>
        <v>2.5378571428571428</v>
      </c>
    </row>
    <row r="12" spans="1:23" x14ac:dyDescent="0.25">
      <c r="A12" s="3" t="s">
        <v>9</v>
      </c>
      <c r="B12" s="2"/>
      <c r="C12" s="2">
        <v>8</v>
      </c>
      <c r="D12" s="17">
        <f t="shared" si="0"/>
        <v>0</v>
      </c>
      <c r="F12" s="5" t="s">
        <v>9</v>
      </c>
      <c r="G12" s="25">
        <v>15</v>
      </c>
      <c r="H12" s="6">
        <v>0</v>
      </c>
      <c r="J12" s="1" t="s">
        <v>17</v>
      </c>
      <c r="K12" s="1">
        <f>IF($D$14&lt;&gt;0,3,2.8)</f>
        <v>3</v>
      </c>
      <c r="L12" s="1"/>
      <c r="N12" s="1" t="s">
        <v>17</v>
      </c>
      <c r="O12" s="1">
        <f>IF($D$14&lt;&gt;0,3,2.8)</f>
        <v>3</v>
      </c>
      <c r="P12" s="1"/>
      <c r="R12" s="1" t="s">
        <v>17</v>
      </c>
      <c r="S12" s="1">
        <f>IF($D$14&lt;&gt;0,3,2.8)</f>
        <v>3</v>
      </c>
      <c r="T12" s="1"/>
    </row>
    <row r="13" spans="1:23" x14ac:dyDescent="0.25">
      <c r="A13" s="3" t="s">
        <v>10</v>
      </c>
      <c r="B13" s="2"/>
      <c r="C13" s="2">
        <v>8</v>
      </c>
      <c r="D13" s="17">
        <f t="shared" si="0"/>
        <v>0</v>
      </c>
      <c r="F13" s="5" t="s">
        <v>10</v>
      </c>
      <c r="G13" s="25"/>
      <c r="H13" s="6">
        <v>0</v>
      </c>
      <c r="J13" s="1" t="s">
        <v>16</v>
      </c>
      <c r="K13" s="22">
        <f>(K11/$K$12)*100</f>
        <v>98</v>
      </c>
      <c r="L13" s="22">
        <f>(L11/$K$12)*100</f>
        <v>104.5</v>
      </c>
      <c r="N13" s="1" t="s">
        <v>16</v>
      </c>
      <c r="O13" s="22">
        <f>(O11/$O$12)*100</f>
        <v>86.285714285714292</v>
      </c>
      <c r="P13" s="22">
        <f>(P11/$O$12)*100</f>
        <v>93.026455026455025</v>
      </c>
      <c r="R13" s="1" t="s">
        <v>16</v>
      </c>
      <c r="S13" s="22">
        <f>(S11/$S$12)*100</f>
        <v>77.936507936507937</v>
      </c>
      <c r="T13" s="22">
        <f>(T11/$S$12)*100</f>
        <v>84.595238095238088</v>
      </c>
    </row>
    <row r="14" spans="1:23" x14ac:dyDescent="0.25">
      <c r="A14" s="40" t="s">
        <v>12</v>
      </c>
      <c r="B14" s="40"/>
      <c r="C14" s="40"/>
      <c r="D14" s="16">
        <f>SUM(D3:D13)</f>
        <v>1</v>
      </c>
      <c r="E14" s="1"/>
      <c r="G14" s="1"/>
      <c r="H14" s="1"/>
    </row>
    <row r="16" spans="1:23" x14ac:dyDescent="0.25">
      <c r="A16" s="42" t="s">
        <v>18</v>
      </c>
      <c r="B16" s="42"/>
      <c r="C16" s="42"/>
      <c r="D16" s="42"/>
      <c r="E16" s="42"/>
      <c r="F16" s="42"/>
      <c r="G16" s="42"/>
      <c r="H16" s="1"/>
      <c r="I16" s="35" t="s">
        <v>19</v>
      </c>
      <c r="J16" s="35"/>
      <c r="K16" s="35"/>
      <c r="L16" s="35"/>
      <c r="M16" s="35"/>
      <c r="N16" s="35"/>
      <c r="O16" s="35"/>
      <c r="Q16" s="36" t="s">
        <v>20</v>
      </c>
      <c r="R16" s="36"/>
      <c r="S16" s="36"/>
      <c r="T16" s="36"/>
      <c r="U16" s="36"/>
      <c r="V16" s="36"/>
      <c r="W16" s="36"/>
    </row>
    <row r="17" spans="1:23" x14ac:dyDescent="0.25">
      <c r="A17" s="7" t="s">
        <v>11</v>
      </c>
      <c r="B17" s="7" t="s">
        <v>31</v>
      </c>
      <c r="C17" s="7" t="s">
        <v>32</v>
      </c>
      <c r="D17" s="7" t="s">
        <v>33</v>
      </c>
      <c r="E17" s="7" t="s">
        <v>34</v>
      </c>
      <c r="F17" s="7" t="s">
        <v>35</v>
      </c>
      <c r="G17" s="7" t="s">
        <v>36</v>
      </c>
      <c r="I17" s="10" t="s">
        <v>11</v>
      </c>
      <c r="J17" s="10" t="s">
        <v>31</v>
      </c>
      <c r="K17" s="10" t="s">
        <v>32</v>
      </c>
      <c r="L17" s="10" t="s">
        <v>33</v>
      </c>
      <c r="M17" s="10" t="s">
        <v>34</v>
      </c>
      <c r="N17" s="10" t="s">
        <v>35</v>
      </c>
      <c r="O17" s="10" t="s">
        <v>36</v>
      </c>
      <c r="Q17" s="34" t="s">
        <v>11</v>
      </c>
      <c r="R17" s="34" t="s">
        <v>31</v>
      </c>
      <c r="S17" s="34" t="s">
        <v>32</v>
      </c>
      <c r="T17" s="34" t="s">
        <v>33</v>
      </c>
      <c r="U17" s="34" t="s">
        <v>34</v>
      </c>
      <c r="V17" s="34" t="s">
        <v>35</v>
      </c>
      <c r="W17" s="34" t="s">
        <v>36</v>
      </c>
    </row>
    <row r="18" spans="1:23" x14ac:dyDescent="0.25">
      <c r="A18" s="5" t="s">
        <v>0</v>
      </c>
      <c r="B18" s="6">
        <f t="shared" ref="B18:B28" si="1">G3</f>
        <v>0</v>
      </c>
      <c r="C18" s="6">
        <v>300</v>
      </c>
      <c r="D18" s="6">
        <f t="shared" ref="D18:D28" si="2">IF(B18 &lt;&gt; 0, B18+(E18-C18),0)</f>
        <v>0</v>
      </c>
      <c r="E18" s="6">
        <f t="shared" ref="E18:E28" si="3">C18+H3</f>
        <v>850</v>
      </c>
      <c r="F18" s="17">
        <f t="shared" ref="F18:F27" si="4">B18/C18</f>
        <v>0</v>
      </c>
      <c r="G18" s="17">
        <f t="shared" ref="G18:G27" si="5">D18/E18</f>
        <v>0</v>
      </c>
      <c r="I18" s="8" t="s">
        <v>0</v>
      </c>
      <c r="J18" s="9">
        <f t="shared" ref="J18:J28" si="6">G3</f>
        <v>0</v>
      </c>
      <c r="K18" s="9">
        <v>525</v>
      </c>
      <c r="L18" s="9">
        <f t="shared" ref="L18:L28" si="7">IF(J18 &lt;&gt; 0, J18+(M18-K18),0)</f>
        <v>0</v>
      </c>
      <c r="M18" s="9">
        <f t="shared" ref="M18:M28" si="8">K18+H3</f>
        <v>1075</v>
      </c>
      <c r="N18" s="17">
        <f t="shared" ref="N18:N28" si="9">J18/K18</f>
        <v>0</v>
      </c>
      <c r="O18" s="17">
        <f t="shared" ref="O18:O28" si="10">L18/M18</f>
        <v>0</v>
      </c>
      <c r="Q18" s="11" t="s">
        <v>0</v>
      </c>
      <c r="R18" s="12">
        <f t="shared" ref="R18:R28" si="11">G3</f>
        <v>0</v>
      </c>
      <c r="S18" s="12">
        <v>825</v>
      </c>
      <c r="T18" s="12">
        <f t="shared" ref="T18:T28" si="12">IF(R18 &lt;&gt; 0, R18+(U18-S18),0)</f>
        <v>0</v>
      </c>
      <c r="U18" s="12">
        <f t="shared" ref="U18:U28" si="13">S18+H3</f>
        <v>1375</v>
      </c>
      <c r="V18" s="17">
        <f t="shared" ref="V18:V28" si="14">R18/S18</f>
        <v>0</v>
      </c>
      <c r="W18" s="17">
        <f t="shared" ref="W18:W28" si="15">T18/U18</f>
        <v>0</v>
      </c>
    </row>
    <row r="19" spans="1:23" x14ac:dyDescent="0.25">
      <c r="A19" s="5" t="s">
        <v>1</v>
      </c>
      <c r="B19" s="6">
        <f t="shared" si="1"/>
        <v>0</v>
      </c>
      <c r="C19" s="6">
        <v>10</v>
      </c>
      <c r="D19" s="6">
        <f t="shared" si="2"/>
        <v>0</v>
      </c>
      <c r="E19" s="6">
        <f t="shared" si="3"/>
        <v>20</v>
      </c>
      <c r="F19" s="17">
        <f t="shared" si="4"/>
        <v>0</v>
      </c>
      <c r="G19" s="17">
        <f t="shared" si="5"/>
        <v>0</v>
      </c>
      <c r="I19" s="8" t="s">
        <v>1</v>
      </c>
      <c r="J19" s="9">
        <f t="shared" si="6"/>
        <v>0</v>
      </c>
      <c r="K19" s="9">
        <v>15</v>
      </c>
      <c r="L19" s="9">
        <f t="shared" si="7"/>
        <v>0</v>
      </c>
      <c r="M19" s="9">
        <f t="shared" si="8"/>
        <v>25</v>
      </c>
      <c r="N19" s="17">
        <f t="shared" si="9"/>
        <v>0</v>
      </c>
      <c r="O19" s="17">
        <f t="shared" si="10"/>
        <v>0</v>
      </c>
      <c r="Q19" s="11" t="s">
        <v>1</v>
      </c>
      <c r="R19" s="12">
        <f t="shared" si="11"/>
        <v>0</v>
      </c>
      <c r="S19" s="12">
        <v>25</v>
      </c>
      <c r="T19" s="12">
        <f t="shared" si="12"/>
        <v>0</v>
      </c>
      <c r="U19" s="12">
        <f t="shared" si="13"/>
        <v>35</v>
      </c>
      <c r="V19" s="17">
        <f t="shared" si="14"/>
        <v>0</v>
      </c>
      <c r="W19" s="17">
        <f t="shared" si="15"/>
        <v>0</v>
      </c>
    </row>
    <row r="20" spans="1:23" x14ac:dyDescent="0.25">
      <c r="A20" s="5" t="s">
        <v>2</v>
      </c>
      <c r="B20" s="6">
        <f t="shared" si="1"/>
        <v>0</v>
      </c>
      <c r="C20" s="6">
        <v>20</v>
      </c>
      <c r="D20" s="6">
        <f>IF(B20 &lt;&gt; 0, B20+(E20-C20),0)</f>
        <v>0</v>
      </c>
      <c r="E20" s="6">
        <f t="shared" si="3"/>
        <v>50</v>
      </c>
      <c r="F20" s="17">
        <f t="shared" si="4"/>
        <v>0</v>
      </c>
      <c r="G20" s="17">
        <f t="shared" si="5"/>
        <v>0</v>
      </c>
      <c r="I20" s="8" t="s">
        <v>2</v>
      </c>
      <c r="J20" s="9">
        <f t="shared" si="6"/>
        <v>0</v>
      </c>
      <c r="K20" s="9">
        <v>25</v>
      </c>
      <c r="L20" s="9">
        <f t="shared" si="7"/>
        <v>0</v>
      </c>
      <c r="M20" s="9">
        <f t="shared" si="8"/>
        <v>55</v>
      </c>
      <c r="N20" s="17">
        <f t="shared" si="9"/>
        <v>0</v>
      </c>
      <c r="O20" s="17">
        <f t="shared" si="10"/>
        <v>0</v>
      </c>
      <c r="Q20" s="11" t="s">
        <v>2</v>
      </c>
      <c r="R20" s="12">
        <f t="shared" si="11"/>
        <v>0</v>
      </c>
      <c r="S20" s="12">
        <v>40</v>
      </c>
      <c r="T20" s="12">
        <f t="shared" si="12"/>
        <v>0</v>
      </c>
      <c r="U20" s="12">
        <f t="shared" si="13"/>
        <v>70</v>
      </c>
      <c r="V20" s="17">
        <f t="shared" si="14"/>
        <v>0</v>
      </c>
      <c r="W20" s="17">
        <f t="shared" si="15"/>
        <v>0</v>
      </c>
    </row>
    <row r="21" spans="1:23" x14ac:dyDescent="0.25">
      <c r="A21" s="5" t="s">
        <v>3</v>
      </c>
      <c r="B21" s="6">
        <f t="shared" si="1"/>
        <v>21</v>
      </c>
      <c r="C21" s="6">
        <v>10</v>
      </c>
      <c r="D21" s="6">
        <f>IF(B21 &lt;&gt; 0, B21+(E21-C21),0)</f>
        <v>31</v>
      </c>
      <c r="E21" s="6">
        <f t="shared" si="3"/>
        <v>20</v>
      </c>
      <c r="F21" s="17">
        <f t="shared" si="4"/>
        <v>2.1</v>
      </c>
      <c r="G21" s="17">
        <f t="shared" si="5"/>
        <v>1.55</v>
      </c>
      <c r="I21" s="8" t="s">
        <v>3</v>
      </c>
      <c r="J21" s="9">
        <f t="shared" si="6"/>
        <v>21</v>
      </c>
      <c r="K21" s="9">
        <v>15</v>
      </c>
      <c r="L21" s="9">
        <f>IF(J21 &lt;&gt; 0, J21+(M21-K21),0)</f>
        <v>31</v>
      </c>
      <c r="M21" s="9">
        <f t="shared" si="8"/>
        <v>25</v>
      </c>
      <c r="N21" s="17">
        <f>J21/K21</f>
        <v>1.4</v>
      </c>
      <c r="O21" s="17">
        <f>L21/M21</f>
        <v>1.24</v>
      </c>
      <c r="Q21" s="11" t="s">
        <v>3</v>
      </c>
      <c r="R21" s="12">
        <f t="shared" si="11"/>
        <v>21</v>
      </c>
      <c r="S21" s="12">
        <v>25</v>
      </c>
      <c r="T21" s="12">
        <f t="shared" si="12"/>
        <v>31</v>
      </c>
      <c r="U21" s="12">
        <f t="shared" si="13"/>
        <v>35</v>
      </c>
      <c r="V21" s="17">
        <f t="shared" si="14"/>
        <v>0.84</v>
      </c>
      <c r="W21" s="17">
        <f t="shared" si="15"/>
        <v>0.88571428571428568</v>
      </c>
    </row>
    <row r="22" spans="1:23" x14ac:dyDescent="0.25">
      <c r="A22" s="5" t="s">
        <v>4</v>
      </c>
      <c r="B22" s="6">
        <f t="shared" si="1"/>
        <v>0</v>
      </c>
      <c r="C22" s="6">
        <v>20</v>
      </c>
      <c r="D22" s="6">
        <f t="shared" si="2"/>
        <v>0</v>
      </c>
      <c r="E22" s="6">
        <f t="shared" si="3"/>
        <v>50</v>
      </c>
      <c r="F22" s="17">
        <f t="shared" si="4"/>
        <v>0</v>
      </c>
      <c r="G22" s="17">
        <f t="shared" si="5"/>
        <v>0</v>
      </c>
      <c r="I22" s="8" t="s">
        <v>4</v>
      </c>
      <c r="J22" s="9">
        <f t="shared" si="6"/>
        <v>0</v>
      </c>
      <c r="K22" s="9">
        <v>25</v>
      </c>
      <c r="L22" s="9">
        <f t="shared" si="7"/>
        <v>0</v>
      </c>
      <c r="M22" s="9">
        <f t="shared" si="8"/>
        <v>55</v>
      </c>
      <c r="N22" s="17">
        <f t="shared" si="9"/>
        <v>0</v>
      </c>
      <c r="O22" s="17">
        <f t="shared" si="10"/>
        <v>0</v>
      </c>
      <c r="Q22" s="11" t="s">
        <v>4</v>
      </c>
      <c r="R22" s="12">
        <f t="shared" si="11"/>
        <v>0</v>
      </c>
      <c r="S22" s="12">
        <v>40</v>
      </c>
      <c r="T22" s="12">
        <f t="shared" si="12"/>
        <v>0</v>
      </c>
      <c r="U22" s="12">
        <f t="shared" si="13"/>
        <v>70</v>
      </c>
      <c r="V22" s="17">
        <f t="shared" si="14"/>
        <v>0</v>
      </c>
      <c r="W22" s="17">
        <f t="shared" si="15"/>
        <v>0</v>
      </c>
    </row>
    <row r="23" spans="1:23" x14ac:dyDescent="0.25">
      <c r="A23" s="5" t="s">
        <v>5</v>
      </c>
      <c r="B23" s="6">
        <f t="shared" si="1"/>
        <v>0</v>
      </c>
      <c r="C23" s="6">
        <v>10</v>
      </c>
      <c r="D23" s="6">
        <f t="shared" si="2"/>
        <v>0</v>
      </c>
      <c r="E23" s="6">
        <f t="shared" si="3"/>
        <v>20</v>
      </c>
      <c r="F23" s="17">
        <f t="shared" si="4"/>
        <v>0</v>
      </c>
      <c r="G23" s="17">
        <f t="shared" si="5"/>
        <v>0</v>
      </c>
      <c r="I23" s="8" t="s">
        <v>5</v>
      </c>
      <c r="J23" s="9">
        <f t="shared" si="6"/>
        <v>0</v>
      </c>
      <c r="K23" s="9">
        <v>15</v>
      </c>
      <c r="L23" s="9">
        <f t="shared" si="7"/>
        <v>0</v>
      </c>
      <c r="M23" s="9">
        <f t="shared" si="8"/>
        <v>25</v>
      </c>
      <c r="N23" s="17">
        <f t="shared" si="9"/>
        <v>0</v>
      </c>
      <c r="O23" s="17">
        <f t="shared" si="10"/>
        <v>0</v>
      </c>
      <c r="Q23" s="11" t="s">
        <v>5</v>
      </c>
      <c r="R23" s="12">
        <f t="shared" si="11"/>
        <v>0</v>
      </c>
      <c r="S23" s="12">
        <v>25</v>
      </c>
      <c r="T23" s="12">
        <f t="shared" si="12"/>
        <v>0</v>
      </c>
      <c r="U23" s="12">
        <f t="shared" si="13"/>
        <v>35</v>
      </c>
      <c r="V23" s="17">
        <f t="shared" si="14"/>
        <v>0</v>
      </c>
      <c r="W23" s="17">
        <f t="shared" si="15"/>
        <v>0</v>
      </c>
    </row>
    <row r="24" spans="1:23" x14ac:dyDescent="0.25">
      <c r="A24" s="5" t="s">
        <v>6</v>
      </c>
      <c r="B24" s="6">
        <f t="shared" si="1"/>
        <v>8</v>
      </c>
      <c r="C24" s="6">
        <v>5</v>
      </c>
      <c r="D24" s="6">
        <f t="shared" si="2"/>
        <v>13</v>
      </c>
      <c r="E24" s="6">
        <f t="shared" si="3"/>
        <v>10</v>
      </c>
      <c r="F24" s="17">
        <f t="shared" si="4"/>
        <v>1.6</v>
      </c>
      <c r="G24" s="17">
        <f t="shared" si="5"/>
        <v>1.3</v>
      </c>
      <c r="I24" s="8" t="s">
        <v>6</v>
      </c>
      <c r="J24" s="9">
        <f t="shared" si="6"/>
        <v>8</v>
      </c>
      <c r="K24" s="9">
        <v>10</v>
      </c>
      <c r="L24" s="9">
        <f t="shared" si="7"/>
        <v>13</v>
      </c>
      <c r="M24" s="9">
        <f t="shared" si="8"/>
        <v>15</v>
      </c>
      <c r="N24" s="17">
        <f t="shared" si="9"/>
        <v>0.8</v>
      </c>
      <c r="O24" s="17">
        <f t="shared" si="10"/>
        <v>0.8666666666666667</v>
      </c>
      <c r="Q24" s="11" t="s">
        <v>6</v>
      </c>
      <c r="R24" s="12">
        <f t="shared" si="11"/>
        <v>8</v>
      </c>
      <c r="S24" s="12">
        <v>15</v>
      </c>
      <c r="T24" s="12">
        <f t="shared" si="12"/>
        <v>13</v>
      </c>
      <c r="U24" s="12">
        <f t="shared" si="13"/>
        <v>20</v>
      </c>
      <c r="V24" s="17">
        <f t="shared" si="14"/>
        <v>0.53333333333333333</v>
      </c>
      <c r="W24" s="17">
        <f t="shared" si="15"/>
        <v>0.65</v>
      </c>
    </row>
    <row r="25" spans="1:23" x14ac:dyDescent="0.25">
      <c r="A25" s="5" t="s">
        <v>8</v>
      </c>
      <c r="B25" s="6">
        <f t="shared" si="1"/>
        <v>0</v>
      </c>
      <c r="C25" s="6">
        <v>5</v>
      </c>
      <c r="D25" s="6">
        <f t="shared" si="2"/>
        <v>0</v>
      </c>
      <c r="E25" s="6">
        <f t="shared" si="3"/>
        <v>5</v>
      </c>
      <c r="F25" s="17">
        <f t="shared" si="4"/>
        <v>0</v>
      </c>
      <c r="G25" s="17">
        <f t="shared" si="5"/>
        <v>0</v>
      </c>
      <c r="I25" s="8" t="s">
        <v>8</v>
      </c>
      <c r="J25" s="9">
        <f t="shared" si="6"/>
        <v>0</v>
      </c>
      <c r="K25" s="9">
        <v>10</v>
      </c>
      <c r="L25" s="9">
        <f t="shared" si="7"/>
        <v>0</v>
      </c>
      <c r="M25" s="9">
        <f t="shared" si="8"/>
        <v>10</v>
      </c>
      <c r="N25" s="17">
        <f t="shared" si="9"/>
        <v>0</v>
      </c>
      <c r="O25" s="17">
        <f t="shared" si="10"/>
        <v>0</v>
      </c>
      <c r="Q25" s="11" t="s">
        <v>8</v>
      </c>
      <c r="R25" s="12">
        <f t="shared" si="11"/>
        <v>0</v>
      </c>
      <c r="S25" s="12">
        <v>15</v>
      </c>
      <c r="T25" s="12">
        <f t="shared" si="12"/>
        <v>0</v>
      </c>
      <c r="U25" s="12">
        <f t="shared" si="13"/>
        <v>15</v>
      </c>
      <c r="V25" s="17">
        <f t="shared" si="14"/>
        <v>0</v>
      </c>
      <c r="W25" s="17">
        <f t="shared" si="15"/>
        <v>0</v>
      </c>
    </row>
    <row r="26" spans="1:23" x14ac:dyDescent="0.25">
      <c r="A26" s="5" t="s">
        <v>7</v>
      </c>
      <c r="B26" s="6">
        <f t="shared" si="1"/>
        <v>6</v>
      </c>
      <c r="C26" s="6">
        <v>10</v>
      </c>
      <c r="D26" s="6">
        <f t="shared" si="2"/>
        <v>6</v>
      </c>
      <c r="E26" s="6">
        <f t="shared" si="3"/>
        <v>10</v>
      </c>
      <c r="F26" s="17">
        <f t="shared" si="4"/>
        <v>0.6</v>
      </c>
      <c r="G26" s="17">
        <f t="shared" si="5"/>
        <v>0.6</v>
      </c>
      <c r="I26" s="8" t="s">
        <v>7</v>
      </c>
      <c r="J26" s="9">
        <f t="shared" si="6"/>
        <v>6</v>
      </c>
      <c r="K26" s="9">
        <v>15</v>
      </c>
      <c r="L26" s="9">
        <f t="shared" si="7"/>
        <v>6</v>
      </c>
      <c r="M26" s="9">
        <f t="shared" si="8"/>
        <v>15</v>
      </c>
      <c r="N26" s="17">
        <f t="shared" si="9"/>
        <v>0.4</v>
      </c>
      <c r="O26" s="17">
        <f t="shared" si="10"/>
        <v>0.4</v>
      </c>
      <c r="Q26" s="11" t="s">
        <v>7</v>
      </c>
      <c r="R26" s="12">
        <f t="shared" si="11"/>
        <v>6</v>
      </c>
      <c r="S26" s="12">
        <v>20</v>
      </c>
      <c r="T26" s="12">
        <f t="shared" si="12"/>
        <v>6</v>
      </c>
      <c r="U26" s="12">
        <f t="shared" si="13"/>
        <v>20</v>
      </c>
      <c r="V26" s="17">
        <f t="shared" si="14"/>
        <v>0.3</v>
      </c>
      <c r="W26" s="17">
        <f t="shared" si="15"/>
        <v>0.3</v>
      </c>
    </row>
    <row r="27" spans="1:23" x14ac:dyDescent="0.25">
      <c r="A27" s="5" t="s">
        <v>9</v>
      </c>
      <c r="B27" s="6">
        <f t="shared" si="1"/>
        <v>15</v>
      </c>
      <c r="C27" s="6">
        <v>10</v>
      </c>
      <c r="D27" s="6">
        <f t="shared" si="2"/>
        <v>15</v>
      </c>
      <c r="E27" s="6">
        <f t="shared" si="3"/>
        <v>10</v>
      </c>
      <c r="F27" s="17">
        <f t="shared" si="4"/>
        <v>1.5</v>
      </c>
      <c r="G27" s="17">
        <f t="shared" si="5"/>
        <v>1.5</v>
      </c>
      <c r="I27" s="8" t="s">
        <v>9</v>
      </c>
      <c r="J27" s="9">
        <f t="shared" si="6"/>
        <v>15</v>
      </c>
      <c r="K27" s="9">
        <v>15</v>
      </c>
      <c r="L27" s="9">
        <f t="shared" si="7"/>
        <v>15</v>
      </c>
      <c r="M27" s="9">
        <f t="shared" si="8"/>
        <v>15</v>
      </c>
      <c r="N27" s="17">
        <f t="shared" si="9"/>
        <v>1</v>
      </c>
      <c r="O27" s="17">
        <f t="shared" si="10"/>
        <v>1</v>
      </c>
      <c r="Q27" s="11" t="s">
        <v>9</v>
      </c>
      <c r="R27" s="12">
        <f t="shared" si="11"/>
        <v>15</v>
      </c>
      <c r="S27" s="12">
        <v>20</v>
      </c>
      <c r="T27" s="12">
        <f t="shared" si="12"/>
        <v>15</v>
      </c>
      <c r="U27" s="12">
        <f t="shared" si="13"/>
        <v>20</v>
      </c>
      <c r="V27" s="17">
        <f t="shared" si="14"/>
        <v>0.75</v>
      </c>
      <c r="W27" s="17">
        <f t="shared" si="15"/>
        <v>0.75</v>
      </c>
    </row>
    <row r="28" spans="1:23" x14ac:dyDescent="0.25">
      <c r="A28" s="5" t="s">
        <v>10</v>
      </c>
      <c r="B28" s="6">
        <f t="shared" si="1"/>
        <v>0</v>
      </c>
      <c r="C28" s="6">
        <v>10</v>
      </c>
      <c r="D28" s="6">
        <f t="shared" si="2"/>
        <v>0</v>
      </c>
      <c r="E28" s="6">
        <f t="shared" si="3"/>
        <v>10</v>
      </c>
      <c r="F28" s="17">
        <f>B28/C28</f>
        <v>0</v>
      </c>
      <c r="G28" s="17">
        <f>D28/E28</f>
        <v>0</v>
      </c>
      <c r="I28" s="8" t="s">
        <v>10</v>
      </c>
      <c r="J28" s="9">
        <f t="shared" si="6"/>
        <v>0</v>
      </c>
      <c r="K28" s="9">
        <v>15</v>
      </c>
      <c r="L28" s="9">
        <f t="shared" si="7"/>
        <v>0</v>
      </c>
      <c r="M28" s="9">
        <f t="shared" si="8"/>
        <v>15</v>
      </c>
      <c r="N28" s="17">
        <f t="shared" si="9"/>
        <v>0</v>
      </c>
      <c r="O28" s="17">
        <f t="shared" si="10"/>
        <v>0</v>
      </c>
      <c r="Q28" s="11" t="s">
        <v>10</v>
      </c>
      <c r="R28" s="12">
        <f t="shared" si="11"/>
        <v>0</v>
      </c>
      <c r="S28" s="12">
        <v>20</v>
      </c>
      <c r="T28" s="12">
        <f t="shared" si="12"/>
        <v>0</v>
      </c>
      <c r="U28" s="12">
        <f t="shared" si="13"/>
        <v>20</v>
      </c>
      <c r="V28" s="17">
        <f t="shared" si="14"/>
        <v>0</v>
      </c>
      <c r="W28" s="17">
        <f t="shared" si="15"/>
        <v>0</v>
      </c>
    </row>
    <row r="29" spans="1:23" x14ac:dyDescent="0.25">
      <c r="B29" s="1"/>
      <c r="C29" s="1"/>
      <c r="D29" s="1"/>
      <c r="E29" s="6" t="s">
        <v>12</v>
      </c>
      <c r="F29" s="18">
        <f>SUM(F18:F28)</f>
        <v>5.8</v>
      </c>
      <c r="G29" s="18">
        <f>SUM(G18:G28)</f>
        <v>4.95</v>
      </c>
      <c r="J29" s="1"/>
      <c r="K29" s="1"/>
      <c r="L29" s="1"/>
      <c r="M29" s="9" t="s">
        <v>12</v>
      </c>
      <c r="N29" s="19">
        <f>SUM(N18:N28)</f>
        <v>3.6</v>
      </c>
      <c r="O29" s="19">
        <f>SUM(O18:O28)</f>
        <v>3.5066666666666664</v>
      </c>
      <c r="R29" s="1"/>
      <c r="S29" s="1"/>
      <c r="T29" s="1"/>
      <c r="U29" s="12" t="s">
        <v>12</v>
      </c>
      <c r="V29" s="20">
        <f>SUM(V18:V28)</f>
        <v>2.4233333333333333</v>
      </c>
      <c r="W29" s="20">
        <f>SUM(W18:W28)</f>
        <v>2.5857142857142854</v>
      </c>
    </row>
    <row r="30" spans="1:23" x14ac:dyDescent="0.25">
      <c r="H30" s="1"/>
    </row>
    <row r="31" spans="1:23" x14ac:dyDescent="0.25">
      <c r="A31" s="37" t="s">
        <v>21</v>
      </c>
      <c r="B31" s="37"/>
      <c r="C31" s="37"/>
      <c r="D31" s="37"/>
      <c r="E31" s="37"/>
      <c r="F31" s="37"/>
      <c r="G31" s="37"/>
      <c r="I31" s="38" t="s">
        <v>22</v>
      </c>
      <c r="J31" s="38"/>
      <c r="K31" s="38"/>
      <c r="L31" s="38"/>
      <c r="M31" s="38"/>
      <c r="N31" s="38"/>
      <c r="O31" s="38"/>
      <c r="Q31" s="39" t="s">
        <v>23</v>
      </c>
      <c r="R31" s="39"/>
      <c r="S31" s="39"/>
      <c r="T31" s="39"/>
      <c r="U31" s="39"/>
      <c r="V31" s="39"/>
      <c r="W31" s="39"/>
    </row>
    <row r="32" spans="1:23" x14ac:dyDescent="0.25">
      <c r="A32" s="15" t="s">
        <v>11</v>
      </c>
      <c r="B32" s="15" t="s">
        <v>31</v>
      </c>
      <c r="C32" s="15" t="s">
        <v>32</v>
      </c>
      <c r="D32" s="15" t="s">
        <v>33</v>
      </c>
      <c r="E32" s="15" t="s">
        <v>34</v>
      </c>
      <c r="F32" s="15" t="s">
        <v>35</v>
      </c>
      <c r="G32" s="15" t="s">
        <v>36</v>
      </c>
      <c r="I32" s="26" t="s">
        <v>11</v>
      </c>
      <c r="J32" s="26" t="s">
        <v>31</v>
      </c>
      <c r="K32" s="26" t="s">
        <v>32</v>
      </c>
      <c r="L32" s="26" t="s">
        <v>33</v>
      </c>
      <c r="M32" s="26" t="s">
        <v>34</v>
      </c>
      <c r="N32" s="26" t="s">
        <v>35</v>
      </c>
      <c r="O32" s="26" t="s">
        <v>36</v>
      </c>
      <c r="Q32" s="33" t="s">
        <v>11</v>
      </c>
      <c r="R32" s="33" t="s">
        <v>31</v>
      </c>
      <c r="S32" s="33" t="s">
        <v>32</v>
      </c>
      <c r="T32" s="33" t="s">
        <v>33</v>
      </c>
      <c r="U32" s="33" t="s">
        <v>34</v>
      </c>
      <c r="V32" s="33" t="s">
        <v>35</v>
      </c>
      <c r="W32" s="33" t="s">
        <v>36</v>
      </c>
    </row>
    <row r="33" spans="1:23" x14ac:dyDescent="0.25">
      <c r="A33" s="13" t="s">
        <v>0</v>
      </c>
      <c r="B33" s="14">
        <f t="shared" ref="B33:B43" si="16">G3</f>
        <v>0</v>
      </c>
      <c r="C33" s="14">
        <v>1125</v>
      </c>
      <c r="D33" s="14">
        <f t="shared" ref="D33:D43" si="17">IF(B33 &lt;&gt; 0, B33+(E33-C33),0)</f>
        <v>0</v>
      </c>
      <c r="E33" s="14">
        <f t="shared" ref="E33:E43" si="18">C33+H3</f>
        <v>1675</v>
      </c>
      <c r="F33" s="17">
        <f t="shared" ref="F33:F43" si="19">B33/C33</f>
        <v>0</v>
      </c>
      <c r="G33" s="17">
        <f t="shared" ref="G33:G43" si="20">D33/E33</f>
        <v>0</v>
      </c>
      <c r="I33" s="27" t="s">
        <v>0</v>
      </c>
      <c r="J33" s="28">
        <f t="shared" ref="J33:J43" si="21">G3</f>
        <v>0</v>
      </c>
      <c r="K33" s="28">
        <v>1500</v>
      </c>
      <c r="L33" s="28">
        <f t="shared" ref="L33:L43" si="22">IF(J33 &lt;&gt; 0, J33+(M33-K33),0)</f>
        <v>0</v>
      </c>
      <c r="M33" s="28">
        <f t="shared" ref="M33:M43" si="23">K33+H3</f>
        <v>2050</v>
      </c>
      <c r="N33" s="17">
        <f t="shared" ref="N33:N43" si="24">J33/K33</f>
        <v>0</v>
      </c>
      <c r="O33" s="17">
        <f t="shared" ref="O33:O43" si="25">L33/M33</f>
        <v>0</v>
      </c>
      <c r="Q33" s="30" t="s">
        <v>0</v>
      </c>
      <c r="R33" s="31">
        <f t="shared" ref="R33:R43" si="26">G3</f>
        <v>0</v>
      </c>
      <c r="S33" s="31">
        <v>1875</v>
      </c>
      <c r="T33" s="31">
        <f t="shared" ref="T33:T43" si="27">IF(R33 &lt;&gt; 0, R33+(U33-S33),0)</f>
        <v>0</v>
      </c>
      <c r="U33" s="31">
        <f t="shared" ref="U33:U43" si="28">S33+H3</f>
        <v>2425</v>
      </c>
      <c r="V33" s="17">
        <f t="shared" ref="V33:V43" si="29">R33/S33</f>
        <v>0</v>
      </c>
      <c r="W33" s="17">
        <f t="shared" ref="W33:W43" si="30">T33/U33</f>
        <v>0</v>
      </c>
    </row>
    <row r="34" spans="1:23" x14ac:dyDescent="0.25">
      <c r="A34" s="13" t="s">
        <v>1</v>
      </c>
      <c r="B34" s="14">
        <f t="shared" si="16"/>
        <v>0</v>
      </c>
      <c r="C34" s="14">
        <v>30</v>
      </c>
      <c r="D34" s="14">
        <f t="shared" si="17"/>
        <v>0</v>
      </c>
      <c r="E34" s="14">
        <f t="shared" si="18"/>
        <v>40</v>
      </c>
      <c r="F34" s="17">
        <f t="shared" si="19"/>
        <v>0</v>
      </c>
      <c r="G34" s="17">
        <f t="shared" si="20"/>
        <v>0</v>
      </c>
      <c r="I34" s="27" t="s">
        <v>1</v>
      </c>
      <c r="J34" s="28">
        <f t="shared" si="21"/>
        <v>0</v>
      </c>
      <c r="K34" s="28">
        <v>35</v>
      </c>
      <c r="L34" s="28">
        <f t="shared" si="22"/>
        <v>0</v>
      </c>
      <c r="M34" s="28">
        <f t="shared" si="23"/>
        <v>45</v>
      </c>
      <c r="N34" s="17">
        <f t="shared" si="24"/>
        <v>0</v>
      </c>
      <c r="O34" s="17">
        <f t="shared" si="25"/>
        <v>0</v>
      </c>
      <c r="Q34" s="30" t="s">
        <v>1</v>
      </c>
      <c r="R34" s="31">
        <f t="shared" si="26"/>
        <v>0</v>
      </c>
      <c r="S34" s="31">
        <v>40</v>
      </c>
      <c r="T34" s="31">
        <f t="shared" si="27"/>
        <v>0</v>
      </c>
      <c r="U34" s="31">
        <f t="shared" si="28"/>
        <v>50</v>
      </c>
      <c r="V34" s="17">
        <f t="shared" si="29"/>
        <v>0</v>
      </c>
      <c r="W34" s="17">
        <f t="shared" si="30"/>
        <v>0</v>
      </c>
    </row>
    <row r="35" spans="1:23" x14ac:dyDescent="0.25">
      <c r="A35" s="13" t="s">
        <v>2</v>
      </c>
      <c r="B35" s="14">
        <f t="shared" si="16"/>
        <v>0</v>
      </c>
      <c r="C35" s="14">
        <v>50</v>
      </c>
      <c r="D35" s="14">
        <f t="shared" si="17"/>
        <v>0</v>
      </c>
      <c r="E35" s="14">
        <f t="shared" si="18"/>
        <v>80</v>
      </c>
      <c r="F35" s="17">
        <f t="shared" si="19"/>
        <v>0</v>
      </c>
      <c r="G35" s="17">
        <f t="shared" si="20"/>
        <v>0</v>
      </c>
      <c r="I35" s="27" t="s">
        <v>2</v>
      </c>
      <c r="J35" s="28">
        <f t="shared" si="21"/>
        <v>0</v>
      </c>
      <c r="K35" s="28">
        <v>75</v>
      </c>
      <c r="L35" s="28">
        <f t="shared" si="22"/>
        <v>0</v>
      </c>
      <c r="M35" s="28">
        <f t="shared" si="23"/>
        <v>105</v>
      </c>
      <c r="N35" s="17">
        <f t="shared" si="24"/>
        <v>0</v>
      </c>
      <c r="O35" s="17">
        <f t="shared" si="25"/>
        <v>0</v>
      </c>
      <c r="Q35" s="30" t="s">
        <v>2</v>
      </c>
      <c r="R35" s="31">
        <f t="shared" si="26"/>
        <v>0</v>
      </c>
      <c r="S35" s="31">
        <v>100</v>
      </c>
      <c r="T35" s="31">
        <f t="shared" si="27"/>
        <v>0</v>
      </c>
      <c r="U35" s="31">
        <f t="shared" si="28"/>
        <v>130</v>
      </c>
      <c r="V35" s="17">
        <f t="shared" si="29"/>
        <v>0</v>
      </c>
      <c r="W35" s="17">
        <f t="shared" si="30"/>
        <v>0</v>
      </c>
    </row>
    <row r="36" spans="1:23" x14ac:dyDescent="0.25">
      <c r="A36" s="13" t="s">
        <v>3</v>
      </c>
      <c r="B36" s="14">
        <f t="shared" si="16"/>
        <v>21</v>
      </c>
      <c r="C36" s="14">
        <v>30</v>
      </c>
      <c r="D36" s="14">
        <f t="shared" si="17"/>
        <v>31</v>
      </c>
      <c r="E36" s="14">
        <f t="shared" si="18"/>
        <v>40</v>
      </c>
      <c r="F36" s="17">
        <f t="shared" si="19"/>
        <v>0.7</v>
      </c>
      <c r="G36" s="17">
        <f t="shared" si="20"/>
        <v>0.77500000000000002</v>
      </c>
      <c r="I36" s="27" t="s">
        <v>3</v>
      </c>
      <c r="J36" s="28">
        <f t="shared" si="21"/>
        <v>21</v>
      </c>
      <c r="K36" s="28">
        <v>35</v>
      </c>
      <c r="L36" s="28">
        <f t="shared" si="22"/>
        <v>31</v>
      </c>
      <c r="M36" s="28">
        <f t="shared" si="23"/>
        <v>45</v>
      </c>
      <c r="N36" s="17">
        <f t="shared" si="24"/>
        <v>0.6</v>
      </c>
      <c r="O36" s="17">
        <f t="shared" si="25"/>
        <v>0.68888888888888888</v>
      </c>
      <c r="Q36" s="30" t="s">
        <v>3</v>
      </c>
      <c r="R36" s="31">
        <f t="shared" si="26"/>
        <v>21</v>
      </c>
      <c r="S36" s="31">
        <v>40</v>
      </c>
      <c r="T36" s="31">
        <f t="shared" si="27"/>
        <v>31</v>
      </c>
      <c r="U36" s="31">
        <f t="shared" si="28"/>
        <v>50</v>
      </c>
      <c r="V36" s="17">
        <f t="shared" si="29"/>
        <v>0.52500000000000002</v>
      </c>
      <c r="W36" s="17">
        <f t="shared" si="30"/>
        <v>0.62</v>
      </c>
    </row>
    <row r="37" spans="1:23" x14ac:dyDescent="0.25">
      <c r="A37" s="13" t="s">
        <v>4</v>
      </c>
      <c r="B37" s="14">
        <f t="shared" si="16"/>
        <v>0</v>
      </c>
      <c r="C37" s="14">
        <v>50</v>
      </c>
      <c r="D37" s="14">
        <f t="shared" si="17"/>
        <v>0</v>
      </c>
      <c r="E37" s="14">
        <f t="shared" si="18"/>
        <v>80</v>
      </c>
      <c r="F37" s="17">
        <f t="shared" si="19"/>
        <v>0</v>
      </c>
      <c r="G37" s="17">
        <f t="shared" si="20"/>
        <v>0</v>
      </c>
      <c r="I37" s="27" t="s">
        <v>4</v>
      </c>
      <c r="J37" s="28">
        <f t="shared" si="21"/>
        <v>0</v>
      </c>
      <c r="K37" s="28">
        <v>75</v>
      </c>
      <c r="L37" s="28">
        <f t="shared" si="22"/>
        <v>0</v>
      </c>
      <c r="M37" s="28">
        <f t="shared" si="23"/>
        <v>105</v>
      </c>
      <c r="N37" s="17">
        <f t="shared" si="24"/>
        <v>0</v>
      </c>
      <c r="O37" s="17">
        <f t="shared" si="25"/>
        <v>0</v>
      </c>
      <c r="Q37" s="30" t="s">
        <v>4</v>
      </c>
      <c r="R37" s="31">
        <f t="shared" si="26"/>
        <v>0</v>
      </c>
      <c r="S37" s="31">
        <v>100</v>
      </c>
      <c r="T37" s="31">
        <f t="shared" si="27"/>
        <v>0</v>
      </c>
      <c r="U37" s="31">
        <f t="shared" si="28"/>
        <v>130</v>
      </c>
      <c r="V37" s="17">
        <f t="shared" si="29"/>
        <v>0</v>
      </c>
      <c r="W37" s="17">
        <f t="shared" si="30"/>
        <v>0</v>
      </c>
    </row>
    <row r="38" spans="1:23" x14ac:dyDescent="0.25">
      <c r="A38" s="13" t="s">
        <v>5</v>
      </c>
      <c r="B38" s="14">
        <f t="shared" si="16"/>
        <v>0</v>
      </c>
      <c r="C38" s="14">
        <v>30</v>
      </c>
      <c r="D38" s="14">
        <f t="shared" si="17"/>
        <v>0</v>
      </c>
      <c r="E38" s="14">
        <f t="shared" si="18"/>
        <v>40</v>
      </c>
      <c r="F38" s="17">
        <f t="shared" si="19"/>
        <v>0</v>
      </c>
      <c r="G38" s="17">
        <f t="shared" si="20"/>
        <v>0</v>
      </c>
      <c r="I38" s="27" t="s">
        <v>5</v>
      </c>
      <c r="J38" s="28">
        <f t="shared" si="21"/>
        <v>0</v>
      </c>
      <c r="K38" s="28">
        <v>35</v>
      </c>
      <c r="L38" s="28">
        <f t="shared" si="22"/>
        <v>0</v>
      </c>
      <c r="M38" s="28">
        <f t="shared" si="23"/>
        <v>45</v>
      </c>
      <c r="N38" s="17">
        <f t="shared" si="24"/>
        <v>0</v>
      </c>
      <c r="O38" s="17">
        <f t="shared" si="25"/>
        <v>0</v>
      </c>
      <c r="Q38" s="30" t="s">
        <v>5</v>
      </c>
      <c r="R38" s="31">
        <f t="shared" si="26"/>
        <v>0</v>
      </c>
      <c r="S38" s="31">
        <v>40</v>
      </c>
      <c r="T38" s="31">
        <f t="shared" si="27"/>
        <v>0</v>
      </c>
      <c r="U38" s="31">
        <f t="shared" si="28"/>
        <v>50</v>
      </c>
      <c r="V38" s="17">
        <f t="shared" si="29"/>
        <v>0</v>
      </c>
      <c r="W38" s="17">
        <f t="shared" si="30"/>
        <v>0</v>
      </c>
    </row>
    <row r="39" spans="1:23" x14ac:dyDescent="0.25">
      <c r="A39" s="13" t="s">
        <v>6</v>
      </c>
      <c r="B39" s="14">
        <f t="shared" si="16"/>
        <v>8</v>
      </c>
      <c r="C39" s="14">
        <v>20</v>
      </c>
      <c r="D39" s="14">
        <f t="shared" si="17"/>
        <v>13</v>
      </c>
      <c r="E39" s="14">
        <f t="shared" si="18"/>
        <v>25</v>
      </c>
      <c r="F39" s="17">
        <f t="shared" si="19"/>
        <v>0.4</v>
      </c>
      <c r="G39" s="17">
        <f t="shared" si="20"/>
        <v>0.52</v>
      </c>
      <c r="I39" s="27" t="s">
        <v>6</v>
      </c>
      <c r="J39" s="28">
        <f t="shared" si="21"/>
        <v>8</v>
      </c>
      <c r="K39" s="28">
        <v>25</v>
      </c>
      <c r="L39" s="28">
        <f t="shared" si="22"/>
        <v>13</v>
      </c>
      <c r="M39" s="28">
        <f t="shared" si="23"/>
        <v>30</v>
      </c>
      <c r="N39" s="17">
        <f t="shared" si="24"/>
        <v>0.32</v>
      </c>
      <c r="O39" s="17">
        <f t="shared" si="25"/>
        <v>0.43333333333333335</v>
      </c>
      <c r="Q39" s="30" t="s">
        <v>6</v>
      </c>
      <c r="R39" s="31">
        <f t="shared" si="26"/>
        <v>8</v>
      </c>
      <c r="S39" s="31">
        <v>30</v>
      </c>
      <c r="T39" s="31">
        <f t="shared" si="27"/>
        <v>13</v>
      </c>
      <c r="U39" s="31">
        <f t="shared" si="28"/>
        <v>35</v>
      </c>
      <c r="V39" s="17">
        <f t="shared" si="29"/>
        <v>0.26666666666666666</v>
      </c>
      <c r="W39" s="17">
        <f t="shared" si="30"/>
        <v>0.37142857142857144</v>
      </c>
    </row>
    <row r="40" spans="1:23" x14ac:dyDescent="0.25">
      <c r="A40" s="13" t="s">
        <v>8</v>
      </c>
      <c r="B40" s="14">
        <f t="shared" si="16"/>
        <v>0</v>
      </c>
      <c r="C40" s="14">
        <v>20</v>
      </c>
      <c r="D40" s="14">
        <f t="shared" si="17"/>
        <v>0</v>
      </c>
      <c r="E40" s="14">
        <f t="shared" si="18"/>
        <v>20</v>
      </c>
      <c r="F40" s="17">
        <f t="shared" si="19"/>
        <v>0</v>
      </c>
      <c r="G40" s="17">
        <f t="shared" si="20"/>
        <v>0</v>
      </c>
      <c r="I40" s="27" t="s">
        <v>8</v>
      </c>
      <c r="J40" s="28">
        <f t="shared" si="21"/>
        <v>0</v>
      </c>
      <c r="K40" s="28">
        <v>25</v>
      </c>
      <c r="L40" s="28">
        <f t="shared" si="22"/>
        <v>0</v>
      </c>
      <c r="M40" s="28">
        <f t="shared" si="23"/>
        <v>25</v>
      </c>
      <c r="N40" s="17">
        <f t="shared" si="24"/>
        <v>0</v>
      </c>
      <c r="O40" s="17">
        <f t="shared" si="25"/>
        <v>0</v>
      </c>
      <c r="Q40" s="30" t="s">
        <v>8</v>
      </c>
      <c r="R40" s="31">
        <f t="shared" si="26"/>
        <v>0</v>
      </c>
      <c r="S40" s="31">
        <v>30</v>
      </c>
      <c r="T40" s="31">
        <f t="shared" si="27"/>
        <v>0</v>
      </c>
      <c r="U40" s="31">
        <f t="shared" si="28"/>
        <v>30</v>
      </c>
      <c r="V40" s="17">
        <f t="shared" si="29"/>
        <v>0</v>
      </c>
      <c r="W40" s="17">
        <f t="shared" si="30"/>
        <v>0</v>
      </c>
    </row>
    <row r="41" spans="1:23" x14ac:dyDescent="0.25">
      <c r="A41" s="13" t="s">
        <v>7</v>
      </c>
      <c r="B41" s="14">
        <f t="shared" si="16"/>
        <v>6</v>
      </c>
      <c r="C41" s="14">
        <v>25</v>
      </c>
      <c r="D41" s="14">
        <f t="shared" si="17"/>
        <v>6</v>
      </c>
      <c r="E41" s="14">
        <f t="shared" si="18"/>
        <v>25</v>
      </c>
      <c r="F41" s="17">
        <f t="shared" si="19"/>
        <v>0.24</v>
      </c>
      <c r="G41" s="17">
        <f t="shared" si="20"/>
        <v>0.24</v>
      </c>
      <c r="I41" s="27" t="s">
        <v>7</v>
      </c>
      <c r="J41" s="28">
        <f t="shared" si="21"/>
        <v>6</v>
      </c>
      <c r="K41" s="28">
        <v>25</v>
      </c>
      <c r="L41" s="28">
        <f t="shared" si="22"/>
        <v>6</v>
      </c>
      <c r="M41" s="28">
        <f t="shared" si="23"/>
        <v>25</v>
      </c>
      <c r="N41" s="17">
        <f t="shared" si="24"/>
        <v>0.24</v>
      </c>
      <c r="O41" s="17">
        <f t="shared" si="25"/>
        <v>0.24</v>
      </c>
      <c r="Q41" s="30" t="s">
        <v>7</v>
      </c>
      <c r="R41" s="31">
        <f t="shared" si="26"/>
        <v>6</v>
      </c>
      <c r="S41" s="31">
        <v>35</v>
      </c>
      <c r="T41" s="31">
        <f t="shared" si="27"/>
        <v>6</v>
      </c>
      <c r="U41" s="31">
        <f t="shared" si="28"/>
        <v>35</v>
      </c>
      <c r="V41" s="17">
        <f t="shared" si="29"/>
        <v>0.17142857142857143</v>
      </c>
      <c r="W41" s="17">
        <f t="shared" si="30"/>
        <v>0.17142857142857143</v>
      </c>
    </row>
    <row r="42" spans="1:23" x14ac:dyDescent="0.25">
      <c r="A42" s="13" t="s">
        <v>9</v>
      </c>
      <c r="B42" s="14">
        <f t="shared" si="16"/>
        <v>15</v>
      </c>
      <c r="C42" s="14">
        <v>25</v>
      </c>
      <c r="D42" s="14">
        <f t="shared" si="17"/>
        <v>15</v>
      </c>
      <c r="E42" s="14">
        <f t="shared" si="18"/>
        <v>25</v>
      </c>
      <c r="F42" s="17">
        <f t="shared" si="19"/>
        <v>0.6</v>
      </c>
      <c r="G42" s="17">
        <f t="shared" si="20"/>
        <v>0.6</v>
      </c>
      <c r="I42" s="27" t="s">
        <v>9</v>
      </c>
      <c r="J42" s="28">
        <f t="shared" si="21"/>
        <v>15</v>
      </c>
      <c r="K42" s="28">
        <v>35</v>
      </c>
      <c r="L42" s="28">
        <f t="shared" si="22"/>
        <v>15</v>
      </c>
      <c r="M42" s="28">
        <f t="shared" si="23"/>
        <v>35</v>
      </c>
      <c r="N42" s="17">
        <f t="shared" si="24"/>
        <v>0.42857142857142855</v>
      </c>
      <c r="O42" s="17">
        <f t="shared" si="25"/>
        <v>0.42857142857142855</v>
      </c>
      <c r="Q42" s="30" t="s">
        <v>9</v>
      </c>
      <c r="R42" s="31">
        <f t="shared" si="26"/>
        <v>15</v>
      </c>
      <c r="S42" s="31">
        <v>40</v>
      </c>
      <c r="T42" s="31">
        <f t="shared" si="27"/>
        <v>15</v>
      </c>
      <c r="U42" s="31">
        <f t="shared" si="28"/>
        <v>40</v>
      </c>
      <c r="V42" s="17">
        <f t="shared" si="29"/>
        <v>0.375</v>
      </c>
      <c r="W42" s="17">
        <f t="shared" si="30"/>
        <v>0.375</v>
      </c>
    </row>
    <row r="43" spans="1:23" x14ac:dyDescent="0.25">
      <c r="A43" s="13" t="s">
        <v>10</v>
      </c>
      <c r="B43" s="14">
        <f t="shared" si="16"/>
        <v>0</v>
      </c>
      <c r="C43" s="14">
        <v>25</v>
      </c>
      <c r="D43" s="14">
        <f t="shared" si="17"/>
        <v>0</v>
      </c>
      <c r="E43" s="14">
        <f t="shared" si="18"/>
        <v>25</v>
      </c>
      <c r="F43" s="17">
        <f t="shared" si="19"/>
        <v>0</v>
      </c>
      <c r="G43" s="17">
        <f t="shared" si="20"/>
        <v>0</v>
      </c>
      <c r="I43" s="27" t="s">
        <v>10</v>
      </c>
      <c r="J43" s="28">
        <f t="shared" si="21"/>
        <v>0</v>
      </c>
      <c r="K43" s="28">
        <v>35</v>
      </c>
      <c r="L43" s="28">
        <f t="shared" si="22"/>
        <v>0</v>
      </c>
      <c r="M43" s="28">
        <f t="shared" si="23"/>
        <v>35</v>
      </c>
      <c r="N43" s="17">
        <f t="shared" si="24"/>
        <v>0</v>
      </c>
      <c r="O43" s="17">
        <f t="shared" si="25"/>
        <v>0</v>
      </c>
      <c r="Q43" s="30" t="s">
        <v>10</v>
      </c>
      <c r="R43" s="31">
        <f t="shared" si="26"/>
        <v>0</v>
      </c>
      <c r="S43" s="31">
        <v>40</v>
      </c>
      <c r="T43" s="31">
        <f t="shared" si="27"/>
        <v>0</v>
      </c>
      <c r="U43" s="31">
        <f t="shared" si="28"/>
        <v>40</v>
      </c>
      <c r="V43" s="17">
        <f t="shared" si="29"/>
        <v>0</v>
      </c>
      <c r="W43" s="17">
        <f t="shared" si="30"/>
        <v>0</v>
      </c>
    </row>
    <row r="44" spans="1:23" x14ac:dyDescent="0.25">
      <c r="B44" s="1"/>
      <c r="C44" s="1"/>
      <c r="D44" s="1"/>
      <c r="E44" s="14" t="s">
        <v>12</v>
      </c>
      <c r="F44" s="21">
        <f>SUM(F33:F43)</f>
        <v>1.94</v>
      </c>
      <c r="G44" s="21">
        <f>SUM(G33:G43)</f>
        <v>2.1349999999999998</v>
      </c>
      <c r="H44" s="1"/>
      <c r="J44" s="1"/>
      <c r="K44" s="1"/>
      <c r="L44" s="1"/>
      <c r="M44" s="28" t="s">
        <v>12</v>
      </c>
      <c r="N44" s="29">
        <f>SUM(N33:N43)</f>
        <v>1.5885714285714285</v>
      </c>
      <c r="O44" s="29">
        <f>SUM(O33:O43)</f>
        <v>1.7907936507936508</v>
      </c>
      <c r="R44" s="1"/>
      <c r="S44" s="1"/>
      <c r="T44" s="1"/>
      <c r="U44" s="31" t="s">
        <v>12</v>
      </c>
      <c r="V44" s="32">
        <f>SUM(V33:V43)</f>
        <v>1.3380952380952382</v>
      </c>
      <c r="W44" s="32">
        <f>SUM(W33:W43)</f>
        <v>1.5378571428571428</v>
      </c>
    </row>
    <row r="45" spans="1:23" x14ac:dyDescent="0.25">
      <c r="A45" s="1"/>
      <c r="B45" s="1"/>
      <c r="C45" s="1"/>
      <c r="D45" s="1"/>
      <c r="E45" s="1"/>
      <c r="F45" s="1"/>
      <c r="G45" s="1"/>
    </row>
    <row r="58" spans="2:8" x14ac:dyDescent="0.25">
      <c r="H58" s="1"/>
    </row>
    <row r="60" spans="2:8" x14ac:dyDescent="0.25">
      <c r="B60" s="1"/>
      <c r="C60" s="1"/>
      <c r="D60" s="1"/>
      <c r="E60" s="1"/>
      <c r="F60" s="1"/>
      <c r="G60" s="1"/>
    </row>
    <row r="72" spans="8:8" x14ac:dyDescent="0.25">
      <c r="H72" s="1"/>
    </row>
    <row r="73" spans="8:8" x14ac:dyDescent="0.25">
      <c r="H73" s="1"/>
    </row>
    <row r="87" spans="8:8" x14ac:dyDescent="0.25">
      <c r="H87" s="1"/>
    </row>
    <row r="88" spans="8:8" x14ac:dyDescent="0.25">
      <c r="H88" s="1"/>
    </row>
    <row r="102" spans="1:8" x14ac:dyDescent="0.25">
      <c r="A102" s="23"/>
      <c r="B102" s="1"/>
      <c r="D102" s="1"/>
      <c r="E102" s="1"/>
      <c r="F102" s="1"/>
      <c r="G102" s="1"/>
      <c r="H102" s="1"/>
    </row>
    <row r="103" spans="1:8" x14ac:dyDescent="0.25">
      <c r="A103" s="23"/>
      <c r="B103" s="1"/>
      <c r="D103" s="1"/>
      <c r="E103" s="1"/>
      <c r="F103" s="1"/>
      <c r="G103" s="1"/>
      <c r="H103" s="1"/>
    </row>
    <row r="104" spans="1:8" x14ac:dyDescent="0.25">
      <c r="A104" s="23"/>
      <c r="D104" s="1"/>
      <c r="E104" s="1"/>
      <c r="F104" s="1"/>
      <c r="G104" s="1"/>
      <c r="H104" s="1"/>
    </row>
    <row r="105" spans="1:8" x14ac:dyDescent="0.25">
      <c r="A105" s="23"/>
      <c r="D105" s="1"/>
      <c r="E105" s="1"/>
      <c r="F105" s="1"/>
      <c r="G105" s="1"/>
      <c r="H105" s="1"/>
    </row>
    <row r="106" spans="1:8" x14ac:dyDescent="0.25">
      <c r="A106" s="23"/>
      <c r="D106" s="1"/>
      <c r="E106" s="1"/>
      <c r="F106" s="1"/>
      <c r="G106" s="1"/>
      <c r="H106" s="1"/>
    </row>
    <row r="107" spans="1:8" x14ac:dyDescent="0.25">
      <c r="A107" s="23"/>
      <c r="D107" s="1"/>
      <c r="E107" s="1"/>
      <c r="F107" s="1"/>
      <c r="G107" s="1"/>
      <c r="H107" s="1"/>
    </row>
    <row r="108" spans="1:8" x14ac:dyDescent="0.25">
      <c r="D108" s="1"/>
    </row>
    <row r="109" spans="1:8" x14ac:dyDescent="0.25">
      <c r="D109" s="1"/>
    </row>
    <row r="110" spans="1:8" x14ac:dyDescent="0.25">
      <c r="D110" s="1"/>
    </row>
    <row r="111" spans="1:8" x14ac:dyDescent="0.25">
      <c r="D111" s="1"/>
    </row>
    <row r="112" spans="1:8" x14ac:dyDescent="0.25">
      <c r="D112" s="1"/>
    </row>
    <row r="113" spans="4:4" x14ac:dyDescent="0.25">
      <c r="D113" s="1"/>
    </row>
  </sheetData>
  <mergeCells count="15">
    <mergeCell ref="N2:P2"/>
    <mergeCell ref="R2:T2"/>
    <mergeCell ref="J9:L9"/>
    <mergeCell ref="N9:P9"/>
    <mergeCell ref="R9:T9"/>
    <mergeCell ref="A14:C14"/>
    <mergeCell ref="A1:D1"/>
    <mergeCell ref="F1:H1"/>
    <mergeCell ref="A16:G16"/>
    <mergeCell ref="J2:L2"/>
    <mergeCell ref="I16:O16"/>
    <mergeCell ref="Q16:W16"/>
    <mergeCell ref="A31:G31"/>
    <mergeCell ref="I31:O31"/>
    <mergeCell ref="Q31:W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Ignacio Hernandez Parra</dc:creator>
  <cp:lastModifiedBy>Angel Ignacio Hernandez Parra</cp:lastModifiedBy>
  <dcterms:created xsi:type="dcterms:W3CDTF">2026-06-10T17:11:17Z</dcterms:created>
  <dcterms:modified xsi:type="dcterms:W3CDTF">2026-08-06T23:32:08Z</dcterms:modified>
</cp:coreProperties>
</file>